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04a5d1856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&amp;L" sheetId="1" r:id="R9676dac67e8b440b"/>
    <x:sheet xmlns:r="http://schemas.openxmlformats.org/officeDocument/2006/relationships" name="Данные" sheetId="2" r:id="Re5d840af7d8f41ef"/>
    <x:sheet xmlns:r="http://schemas.openxmlformats.org/officeDocument/2006/relationships" name="Распределение" sheetId="3" r:id="Ra69111cbcd0542b4"/>
    <x:sheet xmlns:r="http://schemas.openxmlformats.org/officeDocument/2006/relationships" name="Расчёт" sheetId="4" r:id="R018f4801946f40de"/>
    <x:sheet xmlns:r="http://schemas.openxmlformats.org/officeDocument/2006/relationships" name="Проверки" sheetId="5" r:id="R60bedf48fd0d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-yy"/>
    <x:numFmt numFmtId="201" formatCode="#,##0.00;(#,##0.00);&quot;—&quot;"/>
    <x:numFmt numFmtId="202" formatCode="0.0%"/>
    <x:numFmt numFmtId="203" formatCode="0.00"/>
  </x:numFmts>
  <x:fonts count="7">
    <x:font>
      <x:sz val="11"/>
      <x:name val="Carlito"/>
    </x:font>
    <x:font>
      <x:sz val="10"/>
      <x:color rgb="FF17243B"/>
      <x:name val="Arial"/>
    </x:font>
    <x:font>
      <x:b/>
      <x:sz val="16"/>
      <x:color rgb="FF17243B"/>
      <x:name val="Arial"/>
    </x:font>
    <x:font>
      <x:b/>
      <x:sz val="10"/>
      <x:color rgb="FFFFFFFF"/>
      <x:name val="Arial"/>
    </x:font>
    <x:font>
      <x:sz val="10"/>
      <x:color rgb="FF185ABD"/>
      <x:name val="Arial"/>
    </x:font>
    <x:font>
      <x:sz val="10"/>
      <x:color rgb="FF16703B"/>
      <x:name val="Arial"/>
    </x:font>
    <x:font>
      <x:b/>
      <x:sz val="10"/>
      <x:color rgb="FF17243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A58"/>
      </x:patternFill>
    </x:fill>
    <x:fill>
      <x:patternFill patternType="solid">
        <x:fgColor rgb="FFF2F6FC"/>
      </x:patternFill>
    </x:fill>
    <x:fill>
      <x:patternFill patternType="solid">
        <x:fgColor rgb="FFE7EDF5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6" fillId="4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color rgb="FFA61B1B"/>
      </x:font>
      <x:fill>
        <x:patternFill patternType="solid">
          <x:bgColor rgb="FFFCE8E6"/>
        </x:patternFill>
      </x:fill>
    </x:dxf>
    <x:dxf>
      <x:font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3925ec7484708" /><Relationship Type="http://schemas.openxmlformats.org/officeDocument/2006/relationships/theme" Target="/xl/theme/theme1.xml" Id="Rfb636decc31847c3" /><Relationship Type="http://schemas.openxmlformats.org/officeDocument/2006/relationships/sharedStrings" Target="/xl/sharedStrings.xml" Id="R16bfb471263a43f8" /><Relationship Type="http://schemas.openxmlformats.org/officeDocument/2006/relationships/worksheet" Target="/xl/worksheets/sheet1.xml" Id="R9676dac67e8b440b" /><Relationship Type="http://schemas.openxmlformats.org/officeDocument/2006/relationships/worksheet" Target="/xl/worksheets/sheet2.xml" Id="Re5d840af7d8f41ef" /><Relationship Type="http://schemas.openxmlformats.org/officeDocument/2006/relationships/worksheet" Target="/xl/worksheets/sheet3.xml" Id="Ra69111cbcd0542b4" /><Relationship Type="http://schemas.openxmlformats.org/officeDocument/2006/relationships/worksheet" Target="/xl/worksheets/sheet4.xml" Id="R018f4801946f40de" /><Relationship Type="http://schemas.openxmlformats.org/officeDocument/2006/relationships/worksheet" Target="/xl/worksheets/sheet5.xml" Id="R60bedf48fd0d42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5" hidden="0" customWidth="1"/>
    <x:col min="3" max="3" width="20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" max="1" width="3" hidden="0" customWidth="1"/>
  </x:cols>
  <x:sheetData>
    <x:row r="2" ht="24" customHeight="1">
      <x:c r="B2" s="3" t="str">
        <x:v>Производственный P&amp;L — демонстрация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B3" s="2" t="str">
        <x:v>ВЫМЫШЛЕННЫЕ ДАННЫЕ. Суммы в рублях, возмещаемый НДС исключён.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0" customHeight="1">
      <x:c r="B5" s="7" t="str">
        <x:v>Месяц</x:v>
      </x:c>
      <x:c r="C5" s="7" t="str">
        <x:v>Выручка факт</x:v>
      </x:c>
      <x:c r="D5" s="7" t="str">
        <x:v>Выручка план</x:v>
      </x:c>
      <x:c r="E5" s="7" t="str">
        <x:v>Δ выручки</x:v>
      </x:c>
      <x:c r="F5" s="7" t="str">
        <x:v>EBIT факт</x:v>
      </x:c>
      <x:c r="G5" s="7" t="str">
        <x:v>EBITDA факт</x:v>
      </x:c>
      <x:c r="H5" s="7" t="str">
        <x:v>Прибыль факт</x:v>
      </x:c>
      <x:c r="I5" s="7" t="str">
        <x:v>Прибыль план</x:v>
      </x:c>
      <x:c r="J5" s="7" t="str">
        <x:v>Δ прибыли</x:v>
      </x:c>
      <x:c r="K5" s="7" t="str">
        <x:v>Чистая маржа</x:v>
      </x:c>
    </x:row>
    <x:row r="6" ht="24" customHeight="1">
      <x:c r="B6" s="8" t="n">
        <x:v>46023</x:v>
      </x:c>
      <x:c r="C6" s="29" t="n">
        <x:f>IF(COUNT('Расчёт'!E6,'Расчёт'!E7,'Расчёт'!E8,'Расчёт'!E9)=4,SUM('Расчёт'!E6,'Расчёт'!E7,'Расчёт'!E8,'Расчёт'!E9),"н/д")</x:f>
        <x:v>1500000</x:v>
      </x:c>
      <x:c r="D6" s="29" t="n">
        <x:f>IF(COUNT('Расчёт'!E10,'Расчёт'!E11,'Расчёт'!E12,'Расчёт'!E13)=4,SUM('Расчёт'!E10,'Расчёт'!E11,'Расчёт'!E12,'Расчёт'!E13),"н/д")</x:f>
        <x:v>1500000</x:v>
      </x:c>
      <x:c r="E6" s="29" t="n">
        <x:f>IF(COUNT(C6:D6)=2,C6-D6,"н/д")</x:f>
        <x:v>0</x:v>
      </x:c>
      <x:c r="F6" s="29" t="n">
        <x:f>IF(COUNT('Расчёт'!J6,'Расчёт'!J7,'Расчёт'!J8,'Расчёт'!J9)=4,SUM('Расчёт'!J6,'Расчёт'!J7,'Расчёт'!J8,'Расчёт'!J9),"н/д")</x:f>
        <x:v>425000</x:v>
      </x:c>
      <x:c r="G6" s="29" t="n">
        <x:f>IF(COUNT('Расчёт'!L6,'Расчёт'!L7,'Расчёт'!L8,'Расчёт'!L9)=4,SUM('Расчёт'!L6,'Расчёт'!L7,'Расчёт'!L8,'Расчёт'!L9),"н/д")</x:f>
        <x:v>475000</x:v>
      </x:c>
      <x:c r="H6" s="29" t="n">
        <x:f>IF(COUNT('Расчёт'!O6,'Расчёт'!O7,'Расчёт'!O8,'Расчёт'!O9)=4,SUM('Расчёт'!O6,'Расчёт'!O7,'Расчёт'!O8,'Расчёт'!O9),"н/д")</x:f>
        <x:v>335000</x:v>
      </x:c>
      <x:c r="I6" s="29" t="n">
        <x:f>IF(COUNT('Расчёт'!O10,'Расчёт'!O11,'Расчёт'!O12,'Расчёт'!O13)=4,SUM('Расчёт'!O10,'Расчёт'!O11,'Расчёт'!O12,'Расчёт'!O13),"н/д")</x:f>
        <x:v>335000</x:v>
      </x:c>
      <x:c r="J6" s="29" t="n">
        <x:f>IF(COUNT(H6:I6)=2,H6-I6,"н/д")</x:f>
        <x:v>0</x:v>
      </x:c>
      <x:c r="K6" s="30" t="n">
        <x:f>IF(COUNT(C6,H6)=2,IF(C6=0,"н/д",H6/C6),"н/д")</x:f>
        <x:v>0.22333333333333333</x:v>
      </x:c>
    </x:row>
    <x:row r="7" ht="24" customHeight="1">
      <x:c r="B7" s="8" t="n">
        <x:v>46054</x:v>
      </x:c>
      <x:c r="C7" s="29" t="n">
        <x:f>IF(COUNT('Расчёт'!E14,'Расчёт'!E15,'Расчёт'!E16,'Расчёт'!E17)=4,SUM('Расчёт'!E14,'Расчёт'!E15,'Расчёт'!E16,'Расчёт'!E17),"н/д")</x:f>
        <x:v>1700000</x:v>
      </x:c>
      <x:c r="D7" s="29" t="n">
        <x:f>IF(COUNT('Расчёт'!E18,'Расчёт'!E19,'Расчёт'!E20,'Расчёт'!E21)=4,SUM('Расчёт'!E18,'Расчёт'!E19,'Расчёт'!E20,'Расчёт'!E21),"н/д")</x:f>
        <x:v>1500000</x:v>
      </x:c>
      <x:c r="E7" s="29" t="n">
        <x:f>IF(COUNT(C7:D7)=2,C7-D7,"н/д")</x:f>
        <x:v>200000</x:v>
      </x:c>
      <x:c r="F7" s="29" t="n">
        <x:f>IF(COUNT('Расчёт'!J14,'Расчёт'!J15,'Расчёт'!J16,'Расчёт'!J17)=4,SUM('Расчёт'!J14,'Расчёт'!J15,'Расчёт'!J16,'Расчёт'!J17),"н/д")</x:f>
        <x:v>430000</x:v>
      </x:c>
      <x:c r="G7" s="29" t="n">
        <x:f>IF(COUNT('Расчёт'!L14,'Расчёт'!L15,'Расчёт'!L16,'Расчёт'!L17)=4,SUM('Расчёт'!L14,'Расчёт'!L15,'Расчёт'!L16,'Расчёт'!L17),"н/д")</x:f>
        <x:v>485000</x:v>
      </x:c>
      <x:c r="H7" s="29" t="n">
        <x:f>IF(COUNT('Расчёт'!O14,'Расчёт'!O15,'Расчёт'!O16,'Расчёт'!O17)=4,SUM('Расчёт'!O14,'Расчёт'!O15,'Расчёт'!O16,'Расчёт'!O17),"н/д")</x:f>
        <x:v>340000</x:v>
      </x:c>
      <x:c r="I7" s="29" t="n">
        <x:f>IF(COUNT('Расчёт'!O18,'Расчёт'!O19,'Расчёт'!O20,'Расчёт'!O21)=4,SUM('Расчёт'!O18,'Расчёт'!O19,'Расчёт'!O20,'Расчёт'!O21),"н/д")</x:f>
        <x:v>335000</x:v>
      </x:c>
      <x:c r="J7" s="29" t="n">
        <x:f>IF(COUNT(H7:I7)=2,H7-I7,"н/д")</x:f>
        <x:v>5000</x:v>
      </x:c>
      <x:c r="K7" s="30" t="n">
        <x:f>IF(COUNT(C7,H7)=2,IF(C7=0,"н/д",H7/C7),"н/д")</x:f>
        <x:v>0.2</x:v>
      </x:c>
    </x:row>
    <x:row r="8" ht="24" customHeight="1">
      <x:c r="B8" s="8" t="n">
        <x:v>46082</x:v>
      </x:c>
      <x:c r="C8" s="29" t="n">
        <x:f>IF(COUNT('Расчёт'!E22,'Расчёт'!E23,'Расчёт'!E24,'Расчёт'!E25)=4,SUM('Расчёт'!E22,'Расчёт'!E23,'Расчёт'!E24,'Расчёт'!E25),"н/д")</x:f>
        <x:v>1900000</x:v>
      </x:c>
      <x:c r="D8" s="29" t="n">
        <x:f>IF(COUNT('Расчёт'!E26,'Расчёт'!E27,'Расчёт'!E28,'Расчёт'!E29)=4,SUM('Расчёт'!E26,'Расчёт'!E27,'Расчёт'!E28,'Расчёт'!E29),"н/д")</x:f>
        <x:v>1500000</x:v>
      </x:c>
      <x:c r="E8" s="29" t="n">
        <x:f>IF(COUNT(C8:D8)=2,C8-D8,"н/д")</x:f>
        <x:v>400000</x:v>
      </x:c>
      <x:c r="F8" s="29" t="n">
        <x:f>IF(COUNT('Расчёт'!J22,'Расчёт'!J23,'Расчёт'!J24,'Расчёт'!J25)=4,SUM('Расчёт'!J22,'Расчёт'!J23,'Расчёт'!J24,'Расчёт'!J25),"н/д")</x:f>
        <x:v>490000</x:v>
      </x:c>
      <x:c r="G8" s="29" t="n">
        <x:f>IF(COUNT('Расчёт'!L22,'Расчёт'!L23,'Расчёт'!L24,'Расчёт'!L25)=4,SUM('Расчёт'!L22,'Расчёт'!L23,'Расчёт'!L24,'Расчёт'!L25),"н/д")</x:f>
        <x:v>550000</x:v>
      </x:c>
      <x:c r="H8" s="29" t="n">
        <x:f>IF(COUNT('Расчёт'!O22,'Расчёт'!O23,'Расчёт'!O24,'Расчёт'!O25)=4,SUM('Расчёт'!O22,'Расчёт'!O23,'Расчёт'!O24,'Расчёт'!O25),"н/д")</x:f>
        <x:v>385000</x:v>
      </x:c>
      <x:c r="I8" s="29" t="n">
        <x:f>IF(COUNT('Расчёт'!O26,'Расчёт'!O27,'Расчёт'!O28,'Расчёт'!O29)=4,SUM('Расчёт'!O26,'Расчёт'!O27,'Расчёт'!O28,'Расчёт'!O29),"н/д")</x:f>
        <x:v>335000</x:v>
      </x:c>
      <x:c r="J8" s="29" t="n">
        <x:f>IF(COUNT(H8:I8)=2,H8-I8,"н/д")</x:f>
        <x:v>50000</x:v>
      </x:c>
      <x:c r="K8" s="30" t="n">
        <x:f>IF(COUNT(C8,H8)=2,IF(C8=0,"н/д",H8/C8),"н/д")</x:f>
        <x:v>0.2026315789473684</x:v>
      </x:c>
    </x:row>
    <x:row r="9" ht="24" customHeight="1">
      <x:c r="B9" s="21" t="str">
        <x:v>Итого</x:v>
      </x:c>
      <x:c r="C9" s="31" t="n">
        <x:f>IF(COUNT(C6:C8)=3,SUM(C6:C8),"н/д")</x:f>
        <x:v>5100000</x:v>
      </x:c>
      <x:c r="D9" s="31" t="n">
        <x:f>IF(COUNT(D6:D8)=3,SUM(D6:D8),"н/д")</x:f>
        <x:v>4500000</x:v>
      </x:c>
      <x:c r="E9" s="31" t="n">
        <x:f>IF(COUNT(E6:E8)=3,SUM(E6:E8),"н/д")</x:f>
        <x:v>600000</x:v>
      </x:c>
      <x:c r="F9" s="31" t="n">
        <x:f>IF(COUNT(F6:F8)=3,SUM(F6:F8),"н/д")</x:f>
        <x:v>1345000</x:v>
      </x:c>
      <x:c r="G9" s="31" t="n">
        <x:f>IF(COUNT(G6:G8)=3,SUM(G6:G8),"н/д")</x:f>
        <x:v>1510000</x:v>
      </x:c>
      <x:c r="H9" s="31" t="n">
        <x:f>IF(COUNT(H6:H8)=3,SUM(H6:H8),"н/д")</x:f>
        <x:v>1060000</x:v>
      </x:c>
      <x:c r="I9" s="31" t="n">
        <x:f>IF(COUNT(I6:I8)=3,SUM(I6:I8),"н/д")</x:f>
        <x:v>1005000</x:v>
      </x:c>
      <x:c r="J9" s="31" t="n">
        <x:f>IF(COUNT(J6:J8)=3,SUM(J6:J8),"н/д")</x:f>
        <x:v>55000</x:v>
      </x:c>
      <x:c r="K9" s="32" t="n">
        <x:f>IF(COUNT(C9,H9)=2,IF(C9=0,"н/д",H9/C9),"н/д")</x:f>
        <x:v>0.20784313725490197</x:v>
      </x:c>
    </x:row>
    <x:row r="10" ht="24" customHeight="1"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4" customHeight="1"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4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40" customHeight="1">
      <x:c r="B13" s="6" t="str">
        <x:v>Объект</x:v>
      </x:c>
      <x:c r="C13" s="6" t="str">
        <x:v>EBIT до распр.</x:v>
      </x:c>
      <x:c r="D13" s="6" t="str">
        <x:v>Распределение</x:v>
      </x:c>
      <x:c r="E13" s="6" t="str">
        <x:v>EBIT после</x:v>
      </x:c>
      <x:c r="F13" s="6" t="str">
        <x:v>Чистая прибыль</x:v>
      </x:c>
      <x:c r="G13" s="2"/>
      <x:c r="H13" s="2"/>
      <x:c r="I13" s="2"/>
      <x:c r="J13" s="2"/>
      <x:c r="K13" s="2"/>
    </x:row>
    <x:row r="14" ht="24" customHeight="1">
      <x:c r="B14" s="2" t="str">
        <x:v>A</x:v>
      </x:c>
      <x:c r="C14" s="9" t="n">
        <x:f>IF(COUNT('Расчёт'!H6,'Расчёт'!H14,'Расчёт'!H22)=3,SUM('Расчёт'!H6,'Расчёт'!H14,'Расчёт'!H22),"н/д")</x:f>
        <x:v>1005000</x:v>
      </x:c>
      <x:c r="D14" s="9" t="n">
        <x:f>IF(COUNT('Расчёт'!I6,'Расчёт'!I14,'Расчёт'!I22)=3,SUM('Расчёт'!I6,'Расчёт'!I14,'Расчёт'!I22),"н/д")</x:f>
        <x:v>230000</x:v>
      </x:c>
      <x:c r="E14" s="9" t="n">
        <x:f>IF(COUNT('Расчёт'!J6,'Расчёт'!J14,'Расчёт'!J22)=3,SUM('Расчёт'!J6,'Расчёт'!J14,'Расчёт'!J22),"н/д")</x:f>
        <x:v>775000</x:v>
      </x:c>
      <x:c r="F14" s="9" t="n">
        <x:f>IF(COUNT('Расчёт'!O6,'Расчёт'!O14,'Расчёт'!O22)=3,SUM('Расчёт'!O6,'Расчёт'!O14,'Расчёт'!O22),"н/д")</x:f>
        <x:v>605000</x:v>
      </x:c>
      <x:c r="G14" s="2"/>
      <x:c r="H14" s="2"/>
      <x:c r="I14" s="2"/>
      <x:c r="J14" s="2"/>
      <x:c r="K14" s="2"/>
    </x:row>
    <x:row r="15" ht="24" customHeight="1">
      <x:c r="B15" s="2" t="str">
        <x:v>B</x:v>
      </x:c>
      <x:c r="C15" s="9" t="n">
        <x:f>IF(COUNT('Расчёт'!H7,'Расчёт'!H15,'Расчёт'!H23)=3,SUM('Расчёт'!H7,'Расчёт'!H15,'Расчёт'!H23),"н/д")</x:f>
        <x:v>730000</x:v>
      </x:c>
      <x:c r="D15" s="9" t="n">
        <x:f>IF(COUNT('Расчёт'!I7,'Расчёт'!I15,'Расчёт'!I23)=3,SUM('Расчёт'!I7,'Расчёт'!I15,'Расчёт'!I23),"н/д")</x:f>
        <x:v>160000</x:v>
      </x:c>
      <x:c r="E15" s="9" t="n">
        <x:f>IF(COUNT('Расчёт'!J7,'Расчёт'!J15,'Расчёт'!J23)=3,SUM('Расчёт'!J7,'Расчёт'!J15,'Расчёт'!J23),"н/д")</x:f>
        <x:v>570000</x:v>
      </x:c>
      <x:c r="F15" s="9" t="n">
        <x:f>IF(COUNT('Расчёт'!O7,'Расчёт'!O15,'Расчёт'!O23)=3,SUM('Расчёт'!O7,'Расчёт'!O15,'Расчёт'!O23),"н/д")</x:f>
        <x:v>455000</x:v>
      </x:c>
      <x:c r="G15" s="2"/>
      <x:c r="H15" s="2"/>
      <x:c r="I15" s="2"/>
      <x:c r="J15" s="2"/>
      <x:c r="K15" s="2"/>
    </x:row>
    <x:row r="16" ht="24" customHeight="1">
      <x:c r="B16" s="2" t="str">
        <x:v>CENTER</x:v>
      </x:c>
      <x:c r="C16" s="9" t="n">
        <x:f>IF(COUNT('Расчёт'!H8,'Расчёт'!H16,'Расчёт'!H24)=3,SUM('Расчёт'!H8,'Расчёт'!H16,'Расчёт'!H24),"н/д")</x:f>
        <x:v>-390000</x:v>
      </x:c>
      <x:c r="D16" s="9" t="n">
        <x:f>IF(COUNT('Расчёт'!I8,'Расчёт'!I16,'Расчёт'!I24)=3,SUM('Расчёт'!I8,'Расчёт'!I16,'Расчёт'!I24),"н/д")</x:f>
        <x:v>-390000</x:v>
      </x:c>
      <x:c r="E16" s="9" t="n">
        <x:f>IF(COUNT('Расчёт'!J8,'Расчёт'!J16,'Расчёт'!J24)=3,SUM('Расчёт'!J8,'Расчёт'!J16,'Расчёт'!J24),"н/д")</x:f>
        <x:v>0</x:v>
      </x:c>
      <x:c r="F16" s="9" t="n">
        <x:f>IF(COUNT('Расчёт'!O8,'Расчёт'!O16,'Расчёт'!O24)=3,SUM('Расчёт'!O8,'Расчёт'!O16,'Расчёт'!O24),"н/д")</x:f>
        <x:v>0</x:v>
      </x:c>
      <x:c r="G16" s="2"/>
      <x:c r="H16" s="2"/>
      <x:c r="I16" s="2"/>
      <x:c r="J16" s="2"/>
      <x:c r="K16" s="2"/>
    </x:row>
    <x:row r="17" ht="24" customHeight="1">
      <x:c r="B17" s="2" t="str">
        <x:v>ELIM</x:v>
      </x:c>
      <x:c r="C17" s="9" t="n">
        <x:f>IF(COUNT('Расчёт'!H9,'Расчёт'!H17,'Расчёт'!H25)=3,SUM('Расчёт'!H9,'Расчёт'!H17,'Расчёт'!H25),"н/д")</x:f>
        <x:v>0</x:v>
      </x:c>
      <x:c r="D17" s="9" t="n">
        <x:f>IF(COUNT('Расчёт'!I9,'Расчёт'!I17,'Расчёт'!I25)=3,SUM('Расчёт'!I9,'Расчёт'!I17,'Расчёт'!I25),"н/д")</x:f>
        <x:v>0</x:v>
      </x:c>
      <x:c r="E17" s="9" t="n">
        <x:f>IF(COUNT('Расчёт'!J9,'Расчёт'!J17,'Расчёт'!J25)=3,SUM('Расчёт'!J9,'Расчёт'!J17,'Расчёт'!J25),"н/д")</x:f>
        <x:v>0</x:v>
      </x:c>
      <x:c r="F17" s="9" t="n">
        <x:f>IF(COUNT('Расчёт'!O9,'Расчёт'!O17,'Расчёт'!O25)=3,SUM('Расчёт'!O9,'Расчёт'!O17,'Расчёт'!O25),"н/д")</x:f>
        <x:v>0</x:v>
      </x:c>
      <x:c r="G17" s="2"/>
      <x:c r="H17" s="2"/>
      <x:c r="I17" s="2"/>
      <x:c r="J17" s="2"/>
      <x:c r="K17" s="2"/>
    </x:row>
    <x:row r="18" ht="24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4" customHeight="1">
      <x:c r="B19" s="2" t="str">
        <x:v>Статус периода</x:v>
      </x:c>
      <x:c r="C19" s="2" t="str">
        <x:f>IF(COUNT('Данные'!F6:O29)&lt;&gt;240,"Нет всех сумм",IF(COUNT('Распределение'!K6:K11)&lt;&gt;6,"Нет распределения",IF(COUNTBLANK('Данные'!Q6:Q29)&gt;0,"Нет источников",IF(COUNTIFS('Данные'!P6:P29,1)&lt;&gt;24,"Предварительный",IF(SUM('Распределение'!J6:J11)&lt;&gt;0,"Есть остаток центра","Рассчитан")))))</x:f>
        <x:v>Рассчитан</x:v>
      </x:c>
      <x:c r="D19" s="2"/>
      <x:c r="E19" s="2"/>
      <x:c r="F19" s="2"/>
      <x:c r="G19" s="2"/>
      <x:c r="H19" s="2"/>
      <x:c r="I19" s="2"/>
      <x:c r="J19" s="2"/>
      <x:c r="K19" s="2"/>
    </x:row>
    <x:row r="20" ht="24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4" customHeight="1">
      <x:c r="B21" s="2" t="str">
        <x:v>Синие ячейки — ввод. Идентификаторы и состав месяцев меняйте в JSON, затем пересоздайте книгу.</x:v>
      </x:c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4" customHeight="1">
      <x:c r="B22" s="2" t="str">
        <x:v>«Рассчитан» не подтверждает сверку с 1С. См. «Проверки». Факт и бюджет заданы отдельно.</x:v>
      </x:c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4" customHeight="1"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4" customHeight="1"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40" customHeight="1">
      <x:c r="B25" s="6" t="str">
        <x:v>P&amp;L за период</x:v>
      </x:c>
      <x:c r="C25" s="6" t="str">
        <x:v>Факт</x:v>
      </x:c>
      <x:c r="D25" s="6" t="str">
        <x:v>Бюджет</x:v>
      </x:c>
      <x:c r="E25" s="6" t="str">
        <x:v>Отклонение</x:v>
      </x:c>
      <x:c r="F25" s="6" t="str">
        <x:v>Отклонение, %</x:v>
      </x:c>
      <x:c r="G25" s="2"/>
      <x:c r="H25" s="2"/>
      <x:c r="I25" s="2"/>
      <x:c r="J25" s="2"/>
      <x:c r="K25" s="2"/>
    </x:row>
    <x:row r="26" ht="24" customHeight="1">
      <x:c r="B26" s="2" t="str">
        <x:v>Выручка</x:v>
      </x:c>
      <x:c r="C26" s="29" t="n">
        <x:f>IF(COUNT('Расчёт'!E6,'Расчёт'!E7,'Расчёт'!E8,'Расчёт'!E9,'Расчёт'!E14,'Расчёт'!E15,'Расчёт'!E16,'Расчёт'!E17,'Расчёт'!E22,'Расчёт'!E23,'Расчёт'!E24,'Расчёт'!E25)=12,SUM('Расчёт'!E6,'Расчёт'!E7,'Расчёт'!E8,'Расчёт'!E9,'Расчёт'!E14,'Расчёт'!E15,'Расчёт'!E16,'Расчёт'!E17,'Расчёт'!E22,'Расчёт'!E23,'Расчёт'!E24,'Расчёт'!E25),"н/д")</x:f>
        <x:v>5100000</x:v>
      </x:c>
      <x:c r="D26" s="29" t="n">
        <x:f>IF(COUNT('Расчёт'!E10,'Расчёт'!E11,'Расчёт'!E12,'Расчёт'!E13,'Расчёт'!E18,'Расчёт'!E19,'Расчёт'!E20,'Расчёт'!E21,'Расчёт'!E26,'Расчёт'!E27,'Расчёт'!E28,'Расчёт'!E29)=12,SUM('Расчёт'!E10,'Расчёт'!E11,'Расчёт'!E12,'Расчёт'!E13,'Расчёт'!E18,'Расчёт'!E19,'Расчёт'!E20,'Расчёт'!E21,'Расчёт'!E26,'Расчёт'!E27,'Расчёт'!E28,'Расчёт'!E29),"н/д")</x:f>
        <x:v>4500000</x:v>
      </x:c>
      <x:c r="E26" s="29" t="n">
        <x:f>IF(COUNT(C26:D26)=2,C26-D26,"н/д")</x:f>
        <x:v>600000</x:v>
      </x:c>
      <x:c r="F26" s="30" t="n">
        <x:f>IF(COUNT(C26:D26)=2,IF(D26=0,"н/д",E26/ABS(D26)),"н/д")</x:f>
        <x:v>0.13333333333333333</x:v>
      </x:c>
      <x:c r="G26" s="2"/>
      <x:c r="H26" s="2"/>
      <x:c r="I26" s="2"/>
      <x:c r="J26" s="2"/>
      <x:c r="K26" s="2"/>
    </x:row>
    <x:row r="27" ht="24" customHeight="1">
      <x:c r="B27" s="2" t="str">
        <x:v>Себестоимость</x:v>
      </x:c>
      <x:c r="C27" s="29" t="n">
        <x:f>IF(COUNT('Расчёт'!F6,'Расчёт'!F7,'Расчёт'!F8,'Расчёт'!F9,'Расчёт'!F14,'Расчёт'!F15,'Расчёт'!F16,'Расчёт'!F17,'Расчёт'!F22,'Расчёт'!F23,'Расчёт'!F24,'Расчёт'!F25)=12,SUM('Расчёт'!F6,'Расчёт'!F7,'Расчёт'!F8,'Расчёт'!F9,'Расчёт'!F14,'Расчёт'!F15,'Расчёт'!F16,'Расчёт'!F17,'Расчёт'!F22,'Расчёт'!F23,'Расчёт'!F24,'Расчёт'!F25),"н/д")</x:f>
        <x:v>2990000</x:v>
      </x:c>
      <x:c r="D27" s="29" t="n">
        <x:f>IF(COUNT('Расчёт'!F10,'Расчёт'!F11,'Расчёт'!F12,'Расчёт'!F13,'Расчёт'!F18,'Расчёт'!F19,'Расчёт'!F20,'Расчёт'!F21,'Расчёт'!F26,'Расчёт'!F27,'Расчёт'!F28,'Расчёт'!F29)=12,SUM('Расчёт'!F10,'Расчёт'!F11,'Расчёт'!F12,'Расчёт'!F13,'Расчёт'!F18,'Расчёт'!F19,'Расчёт'!F20,'Расчёт'!F21,'Расчёт'!F26,'Расчёт'!F27,'Расчёт'!F28,'Расчёт'!F29),"н/д")</x:f>
        <x:v>2580000</x:v>
      </x:c>
      <x:c r="E27" s="29" t="n">
        <x:f>IF(COUNT(C27:D27)=2,C27-D27,"н/д")</x:f>
        <x:v>410000</x:v>
      </x:c>
      <x:c r="F27" s="30" t="n">
        <x:f>IF(COUNT(C27:D27)=2,IF(D27=0,"н/д",E27/ABS(D27)),"н/д")</x:f>
        <x:v>0.15891472868217055</x:v>
      </x:c>
      <x:c r="G27" s="2"/>
      <x:c r="H27" s="2"/>
      <x:c r="I27" s="2"/>
      <x:c r="J27" s="2"/>
      <x:c r="K27" s="2"/>
    </x:row>
    <x:row r="28" ht="24" customHeight="1">
      <x:c r="B28" s="21" t="str">
        <x:v>Валовая прибыль</x:v>
      </x:c>
      <x:c r="C28" s="31" t="n">
        <x:f>IF(COUNT('Расчёт'!G6,'Расчёт'!G7,'Расчёт'!G8,'Расчёт'!G9,'Расчёт'!G14,'Расчёт'!G15,'Расчёт'!G16,'Расчёт'!G17,'Расчёт'!G22,'Расчёт'!G23,'Расчёт'!G24,'Расчёт'!G25)=12,SUM('Расчёт'!G6,'Расчёт'!G7,'Расчёт'!G8,'Расчёт'!G9,'Расчёт'!G14,'Расчёт'!G15,'Расчёт'!G16,'Расчёт'!G17,'Расчёт'!G22,'Расчёт'!G23,'Расчёт'!G24,'Расчёт'!G25),"н/д")</x:f>
        <x:v>2110000</x:v>
      </x:c>
      <x:c r="D28" s="31" t="n">
        <x:f>IF(COUNT('Расчёт'!G10,'Расчёт'!G11,'Расчёт'!G12,'Расчёт'!G13,'Расчёт'!G18,'Расчёт'!G19,'Расчёт'!G20,'Расчёт'!G21,'Расчёт'!G26,'Расчёт'!G27,'Расчёт'!G28,'Расчёт'!G29)=12,SUM('Расчёт'!G10,'Расчёт'!G11,'Расчёт'!G12,'Расчёт'!G13,'Расчёт'!G18,'Расчёт'!G19,'Расчёт'!G20,'Расчёт'!G21,'Расчёт'!G26,'Расчёт'!G27,'Расчёт'!G28,'Расчёт'!G29),"н/д")</x:f>
        <x:v>1920000</x:v>
      </x:c>
      <x:c r="E28" s="31" t="n">
        <x:f>IF(COUNT(C28:D28)=2,C28-D28,"н/д")</x:f>
        <x:v>190000</x:v>
      </x:c>
      <x:c r="F28" s="32" t="n">
        <x:f>IF(COUNT(C28:D28)=2,IF(D28=0,"н/д",E28/ABS(D28)),"н/д")</x:f>
        <x:v>0.09895833333333333</x:v>
      </x:c>
      <x:c r="G28" s="2"/>
      <x:c r="H28" s="2"/>
      <x:c r="I28" s="2"/>
      <x:c r="J28" s="2"/>
      <x:c r="K28" s="2"/>
    </x:row>
    <x:row r="29" ht="24" customHeight="1">
      <x:c r="B29" s="2" t="str">
        <x:v>Коммерческие</x:v>
      </x:c>
      <x:c r="C29" s="29" t="n">
        <x:f>IF(COUNT('Расчёт'!Q6,'Расчёт'!Q7,'Расчёт'!Q8,'Расчёт'!Q9,'Расчёт'!Q14,'Расчёт'!Q15,'Расчёт'!Q16,'Расчёт'!Q17,'Расчёт'!Q22,'Расчёт'!Q23,'Расчёт'!Q24,'Расчёт'!Q25)=12,SUM('Расчёт'!Q6,'Расчёт'!Q7,'Расчёт'!Q8,'Расчёт'!Q9,'Расчёт'!Q14,'Расчёт'!Q15,'Расчёт'!Q16,'Расчёт'!Q17,'Расчёт'!Q22,'Расчёт'!Q23,'Расчёт'!Q24,'Расчёт'!Q25),"н/д")</x:f>
        <x:v>245000</x:v>
      </x:c>
      <x:c r="D29" s="29" t="n">
        <x:f>IF(COUNT('Расчёт'!Q10,'Расчёт'!Q11,'Расчёт'!Q12,'Расчёт'!Q13,'Расчёт'!Q18,'Расчёт'!Q19,'Расчёт'!Q20,'Расчёт'!Q21,'Расчёт'!Q26,'Расчёт'!Q27,'Расчёт'!Q28,'Расчёт'!Q29)=12,SUM('Расчёт'!Q10,'Расчёт'!Q11,'Расчёт'!Q12,'Расчёт'!Q13,'Расчёт'!Q18,'Расчёт'!Q19,'Расчёт'!Q20,'Расчёт'!Q21,'Расчёт'!Q26,'Расчёт'!Q27,'Расчёт'!Q28,'Расчёт'!Q29),"н/д")</x:f>
        <x:v>210000</x:v>
      </x:c>
      <x:c r="E29" s="29" t="n">
        <x:f>IF(COUNT(C29:D29)=2,C29-D29,"н/д")</x:f>
        <x:v>35000</x:v>
      </x:c>
      <x:c r="F29" s="30" t="n">
        <x:f>IF(COUNT(C29:D29)=2,IF(D29=0,"н/д",E29/ABS(D29)),"н/д")</x:f>
        <x:v>0.16666666666666666</x:v>
      </x:c>
      <x:c r="G29" s="2"/>
      <x:c r="H29" s="2"/>
      <x:c r="I29" s="2"/>
      <x:c r="J29" s="2"/>
      <x:c r="K29" s="2"/>
    </x:row>
    <x:row r="30" ht="24" customHeight="1">
      <x:c r="B30" s="2" t="str">
        <x:v>Управление</x:v>
      </x:c>
      <x:c r="C30" s="29" t="n">
        <x:f>IF(COUNT('Расчёт'!R6,'Расчёт'!R7,'Расчёт'!R8,'Расчёт'!R9,'Расчёт'!R14,'Расчёт'!R15,'Расчёт'!R16,'Расчёт'!R17,'Расчёт'!R22,'Расчёт'!R23,'Расчёт'!R24,'Расчёт'!R25)=12,SUM('Расчёт'!R6,'Расчёт'!R7,'Расчёт'!R8,'Расчёт'!R9,'Расчёт'!R14,'Расчёт'!R15,'Расчёт'!R16,'Расчёт'!R17,'Расчёт'!R22,'Расчёт'!R23,'Расчёт'!R24,'Расчёт'!R25),"н/д")</x:f>
        <x:v>505000</x:v>
      </x:c>
      <x:c r="D30" s="29" t="n">
        <x:f>IF(COUNT('Расчёт'!R10,'Расчёт'!R11,'Расчёт'!R12,'Расчёт'!R13,'Расчёт'!R18,'Расчёт'!R19,'Расчёт'!R20,'Расчёт'!R21,'Расчёт'!R26,'Расчёт'!R27,'Расчёт'!R28,'Расчёт'!R29)=12,SUM('Расчёт'!R10,'Расчёт'!R11,'Расчёт'!R12,'Расчёт'!R13,'Расчёт'!R18,'Расчёт'!R19,'Расчёт'!R20,'Расчёт'!R21,'Расчёт'!R26,'Расчёт'!R27,'Расчёт'!R28,'Расчёт'!R29),"н/д")</x:f>
        <x:v>450000</x:v>
      </x:c>
      <x:c r="E30" s="29" t="n">
        <x:f>IF(COUNT(C30:D30)=2,C30-D30,"н/д")</x:f>
        <x:v>55000</x:v>
      </x:c>
      <x:c r="F30" s="30" t="n">
        <x:f>IF(COUNT(C30:D30)=2,IF(D30=0,"н/д",E30/ABS(D30)),"н/д")</x:f>
        <x:v>0.12222222222222222</x:v>
      </x:c>
      <x:c r="G30" s="2"/>
      <x:c r="H30" s="2"/>
      <x:c r="I30" s="2"/>
      <x:c r="J30" s="2"/>
      <x:c r="K30" s="2"/>
    </x:row>
    <x:row r="31" ht="24" customHeight="1">
      <x:c r="B31" s="2" t="str">
        <x:v>Прочие доходы</x:v>
      </x:c>
      <x:c r="C31" s="29" t="n">
        <x:f>IF(COUNT('Расчёт'!S6,'Расчёт'!S7,'Расчёт'!S8,'Расчёт'!S9,'Расчёт'!S14,'Расчёт'!S15,'Расчёт'!S16,'Расчёт'!S17,'Расчёт'!S22,'Расчёт'!S23,'Расчёт'!S24,'Расчёт'!S25)=12,SUM('Расчёт'!S6,'Расчёт'!S7,'Расчёт'!S8,'Расчёт'!S9,'Расчёт'!S14,'Расчёт'!S15,'Расчёт'!S16,'Расчёт'!S17,'Расчёт'!S22,'Расчёт'!S23,'Расчёт'!S24,'Расчёт'!S25),"н/д")</x:f>
        <x:v>10000</x:v>
      </x:c>
      <x:c r="D31" s="29" t="n">
        <x:f>IF(COUNT('Расчёт'!S10,'Расчёт'!S11,'Расчёт'!S12,'Расчёт'!S13,'Расчёт'!S18,'Расчёт'!S19,'Расчёт'!S20,'Расчёт'!S21,'Расчёт'!S26,'Расчёт'!S27,'Расчёт'!S28,'Расчёт'!S29)=12,SUM('Расчёт'!S10,'Расчёт'!S11,'Расчёт'!S12,'Расчёт'!S13,'Расчёт'!S18,'Расчёт'!S19,'Расчёт'!S20,'Расчёт'!S21,'Расчёт'!S26,'Расчёт'!S27,'Расчёт'!S28,'Расчёт'!S29),"н/д")</x:f>
        <x:v>30000</x:v>
      </x:c>
      <x:c r="E31" s="29" t="n">
        <x:f>IF(COUNT(C31:D31)=2,C31-D31,"н/д")</x:f>
        <x:v>-20000</x:v>
      </x:c>
      <x:c r="F31" s="30" t="n">
        <x:f>IF(COUNT(C31:D31)=2,IF(D31=0,"н/д",E31/ABS(D31)),"н/д")</x:f>
        <x:v>-0.6666666666666666</x:v>
      </x:c>
      <x:c r="G31" s="2"/>
      <x:c r="H31" s="2"/>
      <x:c r="I31" s="2"/>
      <x:c r="J31" s="2"/>
      <x:c r="K31" s="2"/>
    </x:row>
    <x:row r="32" ht="24" customHeight="1">
      <x:c r="B32" s="2" t="str">
        <x:v>Прочие расходы</x:v>
      </x:c>
      <x:c r="C32" s="29" t="n">
        <x:f>IF(COUNT('Расчёт'!T6,'Расчёт'!T7,'Расчёт'!T8,'Расчёт'!T9,'Расчёт'!T14,'Расчёт'!T15,'Расчёт'!T16,'Расчёт'!T17,'Расчёт'!T22,'Расчёт'!T23,'Расчёт'!T24,'Расчёт'!T25)=12,SUM('Расчёт'!T6,'Расчёт'!T7,'Расчёт'!T8,'Расчёт'!T9,'Расчёт'!T14,'Расчёт'!T15,'Расчёт'!T16,'Расчёт'!T17,'Расчёт'!T22,'Расчёт'!T23,'Расчёт'!T24,'Расчёт'!T25),"н/д")</x:f>
        <x:v>25000</x:v>
      </x:c>
      <x:c r="D32" s="29" t="n">
        <x:f>IF(COUNT('Расчёт'!T10,'Расчёт'!T11,'Расчёт'!T12,'Расчёт'!T13,'Расчёт'!T18,'Расчёт'!T19,'Расчёт'!T20,'Расчёт'!T21,'Расчёт'!T26,'Расчёт'!T27,'Расчёт'!T28,'Расчёт'!T29)=12,SUM('Расчёт'!T10,'Расчёт'!T11,'Расчёт'!T12,'Расчёт'!T13,'Расчёт'!T18,'Расчёт'!T19,'Расчёт'!T20,'Расчёт'!T21,'Расчёт'!T26,'Расчёт'!T27,'Расчёт'!T28,'Расчёт'!T29),"н/д")</x:f>
        <x:v>15000</x:v>
      </x:c>
      <x:c r="E32" s="29" t="n">
        <x:f>IF(COUNT(C32:D32)=2,C32-D32,"н/д")</x:f>
        <x:v>10000</x:v>
      </x:c>
      <x:c r="F32" s="30" t="n">
        <x:f>IF(COUNT(C32:D32)=2,IF(D32=0,"н/д",E32/ABS(D32)),"н/д")</x:f>
        <x:v>0.6666666666666666</x:v>
      </x:c>
      <x:c r="G32" s="2"/>
      <x:c r="H32" s="2"/>
      <x:c r="I32" s="2"/>
      <x:c r="J32" s="2"/>
      <x:c r="K32" s="2"/>
    </x:row>
    <x:row r="33" ht="24" customHeight="1">
      <x:c r="B33" s="21" t="str">
        <x:v>EBIT</x:v>
      </x:c>
      <x:c r="C33" s="31" t="n">
        <x:f>IF(COUNT('Расчёт'!J6,'Расчёт'!J7,'Расчёт'!J8,'Расчёт'!J9,'Расчёт'!J14,'Расчёт'!J15,'Расчёт'!J16,'Расчёт'!J17,'Расчёт'!J22,'Расчёт'!J23,'Расчёт'!J24,'Расчёт'!J25)=12,SUM('Расчёт'!J6,'Расчёт'!J7,'Расчёт'!J8,'Расчёт'!J9,'Расчёт'!J14,'Расчёт'!J15,'Расчёт'!J16,'Расчёт'!J17,'Расчёт'!J22,'Расчёт'!J23,'Расчёт'!J24,'Расчёт'!J25),"н/д")</x:f>
        <x:v>1345000</x:v>
      </x:c>
      <x:c r="D33" s="31" t="n">
        <x:f>IF(COUNT('Расчёт'!J10,'Расчёт'!J11,'Расчёт'!J12,'Расчёт'!J13,'Расчёт'!J18,'Расчёт'!J19,'Расчёт'!J20,'Расчёт'!J21,'Расчёт'!J26,'Расчёт'!J27,'Расчёт'!J28,'Расчёт'!J29)=12,SUM('Расчёт'!J10,'Расчёт'!J11,'Расчёт'!J12,'Расчёт'!J13,'Расчёт'!J18,'Расчёт'!J19,'Расчёт'!J20,'Расчёт'!J21,'Расчёт'!J26,'Расчёт'!J27,'Расчёт'!J28,'Расчёт'!J29),"н/д")</x:f>
        <x:v>1275000</x:v>
      </x:c>
      <x:c r="E33" s="31" t="n">
        <x:f>IF(COUNT(C33:D33)=2,C33-D33,"н/д")</x:f>
        <x:v>70000</x:v>
      </x:c>
      <x:c r="F33" s="32" t="n">
        <x:f>IF(COUNT(C33:D33)=2,IF(D33=0,"н/д",E33/ABS(D33)),"н/д")</x:f>
        <x:v>0.054901960784313725</x:v>
      </x:c>
      <x:c r="G33" s="2"/>
      <x:c r="H33" s="2"/>
      <x:c r="I33" s="2"/>
      <x:c r="J33" s="2"/>
      <x:c r="K33" s="2"/>
    </x:row>
    <x:row r="34" ht="24" customHeight="1">
      <x:c r="B34" s="2" t="str">
        <x:v>EBITDA, справ.</x:v>
      </x:c>
      <x:c r="C34" s="29" t="n">
        <x:f>IF(COUNT('Расчёт'!L6,'Расчёт'!L7,'Расчёт'!L8,'Расчёт'!L9,'Расчёт'!L14,'Расчёт'!L15,'Расчёт'!L16,'Расчёт'!L17,'Расчёт'!L22,'Расчёт'!L23,'Расчёт'!L24,'Расчёт'!L25)=12,SUM('Расчёт'!L6,'Расчёт'!L7,'Расчёт'!L8,'Расчёт'!L9,'Расчёт'!L14,'Расчёт'!L15,'Расчёт'!L16,'Расчёт'!L17,'Расчёт'!L22,'Расчёт'!L23,'Расчёт'!L24,'Расчёт'!L25),"н/д")</x:f>
        <x:v>1510000</x:v>
      </x:c>
      <x:c r="D34" s="29" t="n">
        <x:f>IF(COUNT('Расчёт'!L10,'Расчёт'!L11,'Расчёт'!L12,'Расчёт'!L13,'Расчёт'!L18,'Расчёт'!L19,'Расчёт'!L20,'Расчёт'!L21,'Расчёт'!L26,'Расчёт'!L27,'Расчёт'!L28,'Расчёт'!L29)=12,SUM('Расчёт'!L10,'Расчёт'!L11,'Расчёт'!L12,'Расчёт'!L13,'Расчёт'!L18,'Расчёт'!L19,'Расчёт'!L20,'Расчёт'!L21,'Расчёт'!L26,'Расчёт'!L27,'Расчёт'!L28,'Расчёт'!L29),"н/д")</x:f>
        <x:v>1425000</x:v>
      </x:c>
      <x:c r="E34" s="29" t="n">
        <x:f>IF(COUNT(C34:D34)=2,C34-D34,"н/д")</x:f>
        <x:v>85000</x:v>
      </x:c>
      <x:c r="F34" s="30" t="n">
        <x:f>IF(COUNT(C34:D34)=2,IF(D34=0,"н/д",E34/ABS(D34)),"н/д")</x:f>
        <x:v>0.05964912280701754</x:v>
      </x:c>
      <x:c r="G34" s="2"/>
      <x:c r="H34" s="2"/>
      <x:c r="I34" s="2"/>
      <x:c r="J34" s="2"/>
      <x:c r="K34" s="2"/>
    </x:row>
    <x:row r="35" ht="24" customHeight="1">
      <x:c r="B35" s="2" t="str">
        <x:v>Фин. доходы</x:v>
      </x:c>
      <x:c r="C35" s="29" t="n">
        <x:f>IF(COUNT('Расчёт'!U6,'Расчёт'!U7,'Расчёт'!U8,'Расчёт'!U9,'Расчёт'!U14,'Расчёт'!U15,'Расчёт'!U16,'Расчёт'!U17,'Расчёт'!U22,'Расчёт'!U23,'Расчёт'!U24,'Расчёт'!U25)=12,SUM('Расчёт'!U6,'Расчёт'!U7,'Расчёт'!U8,'Расчёт'!U9,'Расчёт'!U14,'Расчёт'!U15,'Расчёт'!U16,'Расчёт'!U17,'Расчёт'!U22,'Расчёт'!U23,'Расчёт'!U24,'Расчёт'!U25),"н/д")</x:f>
        <x:v>0</x:v>
      </x:c>
      <x:c r="D35" s="29" t="n">
        <x:f>IF(COUNT('Расчёт'!U10,'Расчёт'!U11,'Расчёт'!U12,'Расчёт'!U13,'Расчёт'!U18,'Расчёт'!U19,'Расчёт'!U20,'Расчёт'!U21,'Расчёт'!U26,'Расчёт'!U27,'Расчёт'!U28,'Расчёт'!U29)=12,SUM('Расчёт'!U10,'Расчёт'!U11,'Расчёт'!U12,'Расчёт'!U13,'Расчёт'!U18,'Расчёт'!U19,'Расчёт'!U20,'Расчёт'!U21,'Расчёт'!U26,'Расчёт'!U27,'Расчёт'!U28,'Расчёт'!U29),"н/д")</x:f>
        <x:v>0</x:v>
      </x:c>
      <x:c r="E35" s="29" t="n">
        <x:f>IF(COUNT(C35:D35)=2,C35-D35,"н/д")</x:f>
        <x:v>0</x:v>
      </x:c>
      <x:c r="F35" s="30" t="str">
        <x:f>IF(COUNT(C35:D35)=2,IF(D35=0,"н/д",E35/ABS(D35)),"н/д")</x:f>
        <x:v>н/д</x:v>
      </x:c>
      <x:c r="G35" s="2"/>
      <x:c r="H35" s="2"/>
      <x:c r="I35" s="2"/>
      <x:c r="J35" s="2"/>
      <x:c r="K35" s="2"/>
    </x:row>
    <x:row r="36" ht="24" customHeight="1">
      <x:c r="B36" s="2" t="str">
        <x:v>Фин. расходы</x:v>
      </x:c>
      <x:c r="C36" s="29" t="n">
        <x:f>IF(COUNT('Расчёт'!V6,'Расчёт'!V7,'Расчёт'!V8,'Расчёт'!V9,'Расчёт'!V14,'Расчёт'!V15,'Расчёт'!V16,'Расчёт'!V17,'Расчёт'!V22,'Расчёт'!V23,'Расчёт'!V24,'Расчёт'!V25)=12,SUM('Расчёт'!V6,'Расчёт'!V7,'Расчёт'!V8,'Расчёт'!V9,'Расчёт'!V14,'Расчёт'!V15,'Расчёт'!V16,'Расчёт'!V17,'Расчёт'!V22,'Расчёт'!V23,'Расчёт'!V24,'Расчёт'!V25),"н/д")</x:f>
        <x:v>45000</x:v>
      </x:c>
      <x:c r="D36" s="29" t="n">
        <x:f>IF(COUNT('Расчёт'!V10,'Расчёт'!V11,'Расчёт'!V12,'Расчёт'!V13,'Расчёт'!V18,'Расчёт'!V19,'Расчёт'!V20,'Расчёт'!V21,'Расчёт'!V26,'Расчёт'!V27,'Расчёт'!V28,'Расчёт'!V29)=12,SUM('Расчёт'!V10,'Расчёт'!V11,'Расчёт'!V12,'Расчёт'!V13,'Расчёт'!V18,'Расчёт'!V19,'Расчёт'!V20,'Расчёт'!V21,'Расчёт'!V26,'Расчёт'!V27,'Расчёт'!V28,'Расчёт'!V29),"н/д")</x:f>
        <x:v>45000</x:v>
      </x:c>
      <x:c r="E36" s="29" t="n">
        <x:f>IF(COUNT(C36:D36)=2,C36-D36,"н/д")</x:f>
        <x:v>0</x:v>
      </x:c>
      <x:c r="F36" s="30" t="n">
        <x:f>IF(COUNT(C36:D36)=2,IF(D36=0,"н/д",E36/ABS(D36)),"н/д")</x:f>
        <x:v>0</x:v>
      </x:c>
      <x:c r="G36" s="2"/>
      <x:c r="H36" s="2"/>
      <x:c r="I36" s="2"/>
      <x:c r="J36" s="2"/>
      <x:c r="K36" s="2"/>
    </x:row>
    <x:row r="37" ht="24" customHeight="1">
      <x:c r="B37" s="2" t="str">
        <x:v>До налога</x:v>
      </x:c>
      <x:c r="C37" s="29" t="n">
        <x:f>IF(COUNT('Расчёт'!M6,'Расчёт'!M7,'Расчёт'!M8,'Расчёт'!M9,'Расчёт'!M14,'Расчёт'!M15,'Расчёт'!M16,'Расчёт'!M17,'Расчёт'!M22,'Расчёт'!M23,'Расчёт'!M24,'Расчёт'!M25)=12,SUM('Расчёт'!M6,'Расчёт'!M7,'Расчёт'!M8,'Расчёт'!M9,'Расчёт'!M14,'Расчёт'!M15,'Расчёт'!M16,'Расчёт'!M17,'Расчёт'!M22,'Расчёт'!M23,'Расчёт'!M24,'Расчёт'!M25),"н/д")</x:f>
        <x:v>1300000</x:v>
      </x:c>
      <x:c r="D37" s="29" t="n">
        <x:f>IF(COUNT('Расчёт'!M10,'Расчёт'!M11,'Расчёт'!M12,'Расчёт'!M13,'Расчёт'!M18,'Расчёт'!M19,'Расчёт'!M20,'Расчёт'!M21,'Расчёт'!M26,'Расчёт'!M27,'Расчёт'!M28,'Расчёт'!M29)=12,SUM('Расчёт'!M10,'Расчёт'!M11,'Расчёт'!M12,'Расчёт'!M13,'Расчёт'!M18,'Расчёт'!M19,'Расчёт'!M20,'Расчёт'!M21,'Расчёт'!M26,'Расчёт'!M27,'Расчёт'!M28,'Расчёт'!M29),"н/д")</x:f>
        <x:v>1230000</x:v>
      </x:c>
      <x:c r="E37" s="29" t="n">
        <x:f>IF(COUNT(C37:D37)=2,C37-D37,"н/д")</x:f>
        <x:v>70000</x:v>
      </x:c>
      <x:c r="F37" s="30" t="n">
        <x:f>IF(COUNT(C37:D37)=2,IF(D37=0,"н/д",E37/ABS(D37)),"н/д")</x:f>
        <x:v>0.056910569105691054</x:v>
      </x:c>
      <x:c r="G37" s="2"/>
      <x:c r="H37" s="2"/>
      <x:c r="I37" s="2"/>
      <x:c r="J37" s="2"/>
      <x:c r="K37" s="2"/>
    </x:row>
    <x:row r="38" ht="24" customHeight="1">
      <x:c r="B38" s="2" t="str">
        <x:v>Налог</x:v>
      </x:c>
      <x:c r="C38" s="29" t="n">
        <x:f>IF(COUNT('Расчёт'!N6,'Расчёт'!N7,'Расчёт'!N8,'Расчёт'!N9,'Расчёт'!N14,'Расчёт'!N15,'Расчёт'!N16,'Расчёт'!N17,'Расчёт'!N22,'Расчёт'!N23,'Расчёт'!N24,'Расчёт'!N25)=12,SUM('Расчёт'!N6,'Расчёт'!N7,'Расчёт'!N8,'Расчёт'!N9,'Расчёт'!N14,'Расчёт'!N15,'Расчёт'!N16,'Расчёт'!N17,'Расчёт'!N22,'Расчёт'!N23,'Расчёт'!N24,'Расчёт'!N25),"н/д")</x:f>
        <x:v>240000</x:v>
      </x:c>
      <x:c r="D38" s="29" t="n">
        <x:f>IF(COUNT('Расчёт'!N10,'Расчёт'!N11,'Расчёт'!N12,'Расчёт'!N13,'Расчёт'!N18,'Расчёт'!N19,'Расчёт'!N20,'Расчёт'!N21,'Расчёт'!N26,'Расчёт'!N27,'Расчёт'!N28,'Расчёт'!N29)=12,SUM('Расчёт'!N10,'Расчёт'!N11,'Расчёт'!N12,'Расчёт'!N13,'Расчёт'!N18,'Расчёт'!N19,'Расчёт'!N20,'Расчёт'!N21,'Расчёт'!N26,'Расчёт'!N27,'Расчёт'!N28,'Расчёт'!N29),"н/д")</x:f>
        <x:v>225000</x:v>
      </x:c>
      <x:c r="E38" s="29" t="n">
        <x:f>IF(COUNT(C38:D38)=2,C38-D38,"н/д")</x:f>
        <x:v>15000</x:v>
      </x:c>
      <x:c r="F38" s="30" t="n">
        <x:f>IF(COUNT(C38:D38)=2,IF(D38=0,"н/д",E38/ABS(D38)),"н/д")</x:f>
        <x:v>0.06666666666666667</x:v>
      </x:c>
      <x:c r="G38" s="2"/>
      <x:c r="H38" s="2"/>
      <x:c r="I38" s="2"/>
      <x:c r="J38" s="2"/>
      <x:c r="K38" s="2"/>
    </x:row>
    <x:row r="39" ht="24" customHeight="1">
      <x:c r="B39" s="21" t="str">
        <x:v>Чистая прибыль</x:v>
      </x:c>
      <x:c r="C39" s="31" t="n">
        <x:f>IF(COUNT('Расчёт'!O6,'Расчёт'!O7,'Расчёт'!O8,'Расчёт'!O9,'Расчёт'!O14,'Расчёт'!O15,'Расчёт'!O16,'Расчёт'!O17,'Расчёт'!O22,'Расчёт'!O23,'Расчёт'!O24,'Расчёт'!O25)=12,SUM('Расчёт'!O6,'Расчёт'!O7,'Расчёт'!O8,'Расчёт'!O9,'Расчёт'!O14,'Расчёт'!O15,'Расчёт'!O16,'Расчёт'!O17,'Расчёт'!O22,'Расчёт'!O23,'Расчёт'!O24,'Расчёт'!O25),"н/д")</x:f>
        <x:v>1060000</x:v>
      </x:c>
      <x:c r="D39" s="31" t="n">
        <x:f>IF(COUNT('Расчёт'!O10,'Расчёт'!O11,'Расчёт'!O12,'Расчёт'!O13,'Расчёт'!O18,'Расчёт'!O19,'Расчёт'!O20,'Расчёт'!O21,'Расчёт'!O26,'Расчёт'!O27,'Расчёт'!O28,'Расчёт'!O29)=12,SUM('Расчёт'!O10,'Расчёт'!O11,'Расчёт'!O12,'Расчёт'!O13,'Расчёт'!O18,'Расчёт'!O19,'Расчёт'!O20,'Расчёт'!O21,'Расчёт'!O26,'Расчёт'!O27,'Расчёт'!O28,'Расчёт'!O29),"н/д")</x:f>
        <x:v>1005000</x:v>
      </x:c>
      <x:c r="E39" s="31" t="n">
        <x:f>IF(COUNT(C39:D39)=2,C39-D39,"н/д")</x:f>
        <x:v>55000</x:v>
      </x:c>
      <x:c r="F39" s="32" t="n">
        <x:f>IF(COUNT(C39:D39)=2,IF(D39=0,"н/д",E39/ABS(D39)),"н/д")</x:f>
        <x:v>0.05472636815920398</x:v>
      </x:c>
      <x:c r="G39" s="2"/>
      <x:c r="H39" s="2"/>
      <x:c r="I39" s="2"/>
      <x:c r="J39" s="2"/>
      <x:c r="K39" s="2"/>
    </x:row>
    <x:row r="40" ht="24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4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4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4" customHeight="1"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4" customHeight="1"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</x:sheetData>
  <x:conditionalFormatting sqref="E6:E9">
    <x:cfRule type="cellIs" dxfId="0" priority="1" operator="lessThan">
      <x:formula>0</x:formula>
    </x:cfRule>
  </x:conditionalFormatting>
  <x:conditionalFormatting sqref="J6:J9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40" hidden="0" customWidth="1"/>
    <x:col min="18" max="18" width="15" hidden="0" customWidth="1"/>
    <x:col min="19" max="19" width="15" hidden="0" customWidth="1"/>
    <x:col min="1" max="1" width="3" hidden="0" customWidth="1"/>
  </x:cols>
  <x:sheetData>
    <x:row r="2" ht="24" customHeight="1">
      <x:c r="B2" s="3" t="str">
        <x:v>Исходные месячные суммы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4" customHeight="1">
      <x:c r="B3" s="2" t="str">
        <x:v>Источник: examples/demo.json — вымышленные данные; рубли, возмещаемый НДС исключён.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4" customHeight="1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0" customHeight="1">
      <x:c r="B5" s="7" t="str">
        <x:v>ID</x:v>
      </x:c>
      <x:c r="C5" s="7" t="str">
        <x:v>Месяц</x:v>
      </x:c>
      <x:c r="D5" s="7" t="str">
        <x:v>Объект</x:v>
      </x:c>
      <x:c r="E5" s="7" t="str">
        <x:v>Сценарий</x:v>
      </x:c>
      <x:c r="F5" s="7" t="str">
        <x:v>Выручка</x:v>
      </x:c>
      <x:c r="G5" s="7" t="str">
        <x:v>Себестоимость</x:v>
      </x:c>
      <x:c r="H5" s="7" t="str">
        <x:v>Коммерческие</x:v>
      </x:c>
      <x:c r="I5" s="7" t="str">
        <x:v>Управленческие</x:v>
      </x:c>
      <x:c r="J5" s="7" t="str">
        <x:v>Прочие доходы</x:v>
      </x:c>
      <x:c r="K5" s="7" t="str">
        <x:v>Прочие расходы</x:v>
      </x:c>
      <x:c r="L5" s="7" t="str">
        <x:v>Амортизация в P&amp;L</x:v>
      </x:c>
      <x:c r="M5" s="7" t="str">
        <x:v>Фин. доходы</x:v>
      </x:c>
      <x:c r="N5" s="7" t="str">
        <x:v>Фин. расходы</x:v>
      </x:c>
      <x:c r="O5" s="7" t="str">
        <x:v>Налог</x:v>
      </x:c>
      <x:c r="P5" s="7" t="str">
        <x:v>Закрыт: 1/0</x:v>
      </x:c>
      <x:c r="Q5" s="7" t="str">
        <x:v>Источник строки</x:v>
      </x:c>
      <x:c r="R5" s="7" t="str">
        <x:v>Число сумм</x:v>
      </x:c>
      <x:c r="S5" s="7" t="str">
        <x:v>Пул известен</x:v>
      </x:c>
    </x:row>
    <x:row r="6" ht="24" customHeight="1">
      <x:c r="B6" s="2" t="str">
        <x:v>2026-01-actual-A</x:v>
      </x:c>
      <x:c r="C6" s="8" t="n">
        <x:v>46023</x:v>
      </x:c>
      <x:c r="D6" s="2" t="str">
        <x:v>A</x:v>
      </x:c>
      <x:c r="E6" s="2" t="str">
        <x:v>actual</x:v>
      </x:c>
      <x:c r="F6" s="26" t="n">
        <x:v>900000</x:v>
      </x:c>
      <x:c r="G6" s="26" t="n">
        <x:v>500000</x:v>
      </x:c>
      <x:c r="H6" s="26" t="n">
        <x:v>40000</x:v>
      </x:c>
      <x:c r="I6" s="26" t="n">
        <x:v>20000</x:v>
      </x:c>
      <x:c r="J6" s="26" t="n">
        <x:v>10000</x:v>
      </x:c>
      <x:c r="K6" s="26" t="n">
        <x:v>5000</x:v>
      </x:c>
      <x:c r="L6" s="26" t="n">
        <x:v>30000</x:v>
      </x:c>
      <x:c r="M6" s="26" t="n">
        <x:v>0</x:v>
      </x:c>
      <x:c r="N6" s="26" t="n">
        <x:v>10000</x:v>
      </x:c>
      <x:c r="O6" s="26" t="n">
        <x:v>50000</x:v>
      </x:c>
      <x:c r="P6" s="27" t="n">
        <x:v>1</x:v>
      </x:c>
      <x:c r="Q6" s="13" t="str">
        <x:v>synthetic:2026-01-actual-A</x:v>
      </x:c>
      <x:c r="R6" s="2" t="n">
        <x:f>COUNT(F6:O6)</x:f>
        <x:v>10</x:v>
      </x:c>
      <x:c r="S6" s="2" t="n">
        <x:f>IF(ISNUMBER(I6),1,0)</x:f>
        <x:v>1</x:v>
      </x:c>
    </x:row>
    <x:row r="7" ht="24" customHeight="1">
      <x:c r="B7" s="2" t="str">
        <x:v>2026-01-actual-B</x:v>
      </x:c>
      <x:c r="C7" s="8" t="n">
        <x:v>46023</x:v>
      </x:c>
      <x:c r="D7" s="2" t="str">
        <x:v>B</x:v>
      </x:c>
      <x:c r="E7" s="2" t="str">
        <x:v>actual</x:v>
      </x:c>
      <x:c r="F7" s="26" t="n">
        <x:v>600000</x:v>
      </x:c>
      <x:c r="G7" s="26" t="n">
        <x:v>360000</x:v>
      </x:c>
      <x:c r="H7" s="26" t="n">
        <x:v>30000</x:v>
      </x:c>
      <x:c r="I7" s="26" t="n">
        <x:v>10000</x:v>
      </x:c>
      <x:c r="J7" s="26" t="n">
        <x:v>0</x:v>
      </x:c>
      <x:c r="K7" s="26" t="n">
        <x:v>0</x:v>
      </x:c>
      <x:c r="L7" s="26" t="n">
        <x:v>20000</x:v>
      </x:c>
      <x:c r="M7" s="26" t="n">
        <x:v>0</x:v>
      </x:c>
      <x:c r="N7" s="26" t="n">
        <x:v>5000</x:v>
      </x:c>
      <x:c r="O7" s="26" t="n">
        <x:v>25000</x:v>
      </x:c>
      <x:c r="P7" s="27" t="n">
        <x:v>1</x:v>
      </x:c>
      <x:c r="Q7" s="13" t="str">
        <x:v>synthetic:2026-01-actual-B</x:v>
      </x:c>
      <x:c r="R7" s="2" t="n">
        <x:f>COUNT(F7:O7)</x:f>
        <x:v>10</x:v>
      </x:c>
      <x:c r="S7" s="2" t="n">
        <x:f>IF(ISNUMBER(I7),1,0)</x:f>
        <x:v>1</x:v>
      </x:c>
    </x:row>
    <x:row r="8" ht="24" customHeight="1">
      <x:c r="B8" s="2" t="str">
        <x:v>2026-01-actual-CENTER</x:v>
      </x:c>
      <x:c r="C8" s="8" t="n">
        <x:v>46023</x:v>
      </x:c>
      <x:c r="D8" s="2" t="str">
        <x:v>CENTER</x:v>
      </x:c>
      <x:c r="E8" s="2" t="str">
        <x:v>actual</x:v>
      </x:c>
      <x:c r="F8" s="26" t="n">
        <x:v>0</x:v>
      </x:c>
      <x:c r="G8" s="26" t="n">
        <x:v>0</x:v>
      </x:c>
      <x:c r="H8" s="26" t="n">
        <x:v>0</x:v>
      </x:c>
      <x:c r="I8" s="26" t="n">
        <x:v>120000</x:v>
      </x:c>
      <x:c r="J8" s="26" t="n">
        <x:v>0</x:v>
      </x:c>
      <x:c r="K8" s="26" t="n">
        <x:v>0</x:v>
      </x:c>
      <x:c r="L8" s="26" t="n">
        <x:v>0</x:v>
      </x:c>
      <x:c r="M8" s="26" t="n">
        <x:v>0</x:v>
      </x:c>
      <x:c r="N8" s="26" t="n">
        <x:v>0</x:v>
      </x:c>
      <x:c r="O8" s="26" t="n">
        <x:v>0</x:v>
      </x:c>
      <x:c r="P8" s="27" t="n">
        <x:v>1</x:v>
      </x:c>
      <x:c r="Q8" s="13" t="str">
        <x:v>synthetic:2026-01-actual-CENTER</x:v>
      </x:c>
      <x:c r="R8" s="2" t="n">
        <x:f>COUNT(F8:O8)</x:f>
        <x:v>10</x:v>
      </x:c>
      <x:c r="S8" s="2" t="n">
        <x:f>IF(ISNUMBER(I8),1,0)</x:f>
        <x:v>1</x:v>
      </x:c>
    </x:row>
    <x:row r="9" ht="24" customHeight="1">
      <x:c r="B9" s="2" t="str">
        <x:v>2026-01-actual-ELIM</x:v>
      </x:c>
      <x:c r="C9" s="8" t="n">
        <x:v>46023</x:v>
      </x:c>
      <x:c r="D9" s="2" t="str">
        <x:v>ELIM</x:v>
      </x:c>
      <x:c r="E9" s="2" t="str">
        <x:v>actual</x:v>
      </x:c>
      <x:c r="F9" s="26" t="n">
        <x:v>0</x:v>
      </x:c>
      <x:c r="G9" s="26" t="n">
        <x:v>0</x:v>
      </x:c>
      <x:c r="H9" s="26" t="n">
        <x:v>0</x:v>
      </x:c>
      <x:c r="I9" s="26" t="n">
        <x:v>0</x:v>
      </x:c>
      <x:c r="J9" s="26" t="n">
        <x:v>0</x:v>
      </x:c>
      <x:c r="K9" s="26" t="n">
        <x:v>0</x:v>
      </x:c>
      <x:c r="L9" s="26" t="n">
        <x:v>0</x:v>
      </x:c>
      <x:c r="M9" s="26" t="n">
        <x:v>0</x:v>
      </x:c>
      <x:c r="N9" s="26" t="n">
        <x:v>0</x:v>
      </x:c>
      <x:c r="O9" s="26" t="n">
        <x:v>0</x:v>
      </x:c>
      <x:c r="P9" s="27" t="n">
        <x:v>1</x:v>
      </x:c>
      <x:c r="Q9" s="13" t="str">
        <x:v>synthetic:2026-01-actual-ELIM</x:v>
      </x:c>
      <x:c r="R9" s="2" t="n">
        <x:f>COUNT(F9:O9)</x:f>
        <x:v>10</x:v>
      </x:c>
      <x:c r="S9" s="2" t="n">
        <x:f>IF(ISNUMBER(I9),1,0)</x:f>
        <x:v>1</x:v>
      </x:c>
    </x:row>
    <x:row r="10" ht="24" customHeight="1">
      <x:c r="B10" s="2" t="str">
        <x:v>2026-01-budget-A</x:v>
      </x:c>
      <x:c r="C10" s="8" t="n">
        <x:v>46023</x:v>
      </x:c>
      <x:c r="D10" s="2" t="str">
        <x:v>A</x:v>
      </x:c>
      <x:c r="E10" s="2" t="str">
        <x:v>budget</x:v>
      </x:c>
      <x:c r="F10" s="26" t="n">
        <x:v>900000</x:v>
      </x:c>
      <x:c r="G10" s="26" t="n">
        <x:v>500000</x:v>
      </x:c>
      <x:c r="H10" s="26" t="n">
        <x:v>40000</x:v>
      </x:c>
      <x:c r="I10" s="26" t="n">
        <x:v>20000</x:v>
      </x:c>
      <x:c r="J10" s="26" t="n">
        <x:v>10000</x:v>
      </x:c>
      <x:c r="K10" s="26" t="n">
        <x:v>5000</x:v>
      </x:c>
      <x:c r="L10" s="26" t="n">
        <x:v>30000</x:v>
      </x:c>
      <x:c r="M10" s="26" t="n">
        <x:v>0</x:v>
      </x:c>
      <x:c r="N10" s="26" t="n">
        <x:v>10000</x:v>
      </x:c>
      <x:c r="O10" s="26" t="n">
        <x:v>50000</x:v>
      </x:c>
      <x:c r="P10" s="27" t="n">
        <x:v>1</x:v>
      </x:c>
      <x:c r="Q10" s="13" t="str">
        <x:v>synthetic:2026-01-budget-A</x:v>
      </x:c>
      <x:c r="R10" s="2" t="n">
        <x:f>COUNT(F10:O10)</x:f>
        <x:v>10</x:v>
      </x:c>
      <x:c r="S10" s="2" t="n">
        <x:f>IF(ISNUMBER(I10),1,0)</x:f>
        <x:v>1</x:v>
      </x:c>
    </x:row>
    <x:row r="11" ht="24" customHeight="1">
      <x:c r="B11" s="2" t="str">
        <x:v>2026-01-budget-B</x:v>
      </x:c>
      <x:c r="C11" s="8" t="n">
        <x:v>46023</x:v>
      </x:c>
      <x:c r="D11" s="2" t="str">
        <x:v>B</x:v>
      </x:c>
      <x:c r="E11" s="2" t="str">
        <x:v>budget</x:v>
      </x:c>
      <x:c r="F11" s="26" t="n">
        <x:v>600000</x:v>
      </x:c>
      <x:c r="G11" s="26" t="n">
        <x:v>360000</x:v>
      </x:c>
      <x:c r="H11" s="26" t="n">
        <x:v>30000</x:v>
      </x:c>
      <x:c r="I11" s="26" t="n">
        <x:v>10000</x:v>
      </x:c>
      <x:c r="J11" s="26" t="n">
        <x:v>0</x:v>
      </x:c>
      <x:c r="K11" s="26" t="n">
        <x:v>0</x:v>
      </x:c>
      <x:c r="L11" s="26" t="n">
        <x:v>20000</x:v>
      </x:c>
      <x:c r="M11" s="26" t="n">
        <x:v>0</x:v>
      </x:c>
      <x:c r="N11" s="26" t="n">
        <x:v>5000</x:v>
      </x:c>
      <x:c r="O11" s="26" t="n">
        <x:v>25000</x:v>
      </x:c>
      <x:c r="P11" s="27" t="n">
        <x:v>1</x:v>
      </x:c>
      <x:c r="Q11" s="13" t="str">
        <x:v>synthetic:2026-01-budget-B</x:v>
      </x:c>
      <x:c r="R11" s="2" t="n">
        <x:f>COUNT(F11:O11)</x:f>
        <x:v>10</x:v>
      </x:c>
      <x:c r="S11" s="2" t="n">
        <x:f>IF(ISNUMBER(I11),1,0)</x:f>
        <x:v>1</x:v>
      </x:c>
    </x:row>
    <x:row r="12" ht="24" customHeight="1">
      <x:c r="B12" s="2" t="str">
        <x:v>2026-01-budget-CENTER</x:v>
      </x:c>
      <x:c r="C12" s="8" t="n">
        <x:v>46023</x:v>
      </x:c>
      <x:c r="D12" s="2" t="str">
        <x:v>CENTER</x:v>
      </x:c>
      <x:c r="E12" s="2" t="str">
        <x:v>budget</x:v>
      </x:c>
      <x:c r="F12" s="26" t="n">
        <x:v>0</x:v>
      </x:c>
      <x:c r="G12" s="26" t="n">
        <x:v>0</x:v>
      </x:c>
      <x:c r="H12" s="26" t="n">
        <x:v>0</x:v>
      </x:c>
      <x:c r="I12" s="26" t="n">
        <x:v>120000</x:v>
      </x:c>
      <x:c r="J12" s="26" t="n">
        <x:v>0</x:v>
      </x:c>
      <x:c r="K12" s="26" t="n">
        <x:v>0</x:v>
      </x:c>
      <x:c r="L12" s="26" t="n">
        <x:v>0</x:v>
      </x:c>
      <x:c r="M12" s="26" t="n">
        <x:v>0</x:v>
      </x:c>
      <x:c r="N12" s="26" t="n">
        <x:v>0</x:v>
      </x:c>
      <x:c r="O12" s="26" t="n">
        <x:v>0</x:v>
      </x:c>
      <x:c r="P12" s="27" t="n">
        <x:v>1</x:v>
      </x:c>
      <x:c r="Q12" s="13" t="str">
        <x:v>synthetic:2026-01-budget-CENTER</x:v>
      </x:c>
      <x:c r="R12" s="2" t="n">
        <x:f>COUNT(F12:O12)</x:f>
        <x:v>10</x:v>
      </x:c>
      <x:c r="S12" s="2" t="n">
        <x:f>IF(ISNUMBER(I12),1,0)</x:f>
        <x:v>1</x:v>
      </x:c>
    </x:row>
    <x:row r="13" ht="24" customHeight="1">
      <x:c r="B13" s="2" t="str">
        <x:v>2026-01-budget-ELIM</x:v>
      </x:c>
      <x:c r="C13" s="8" t="n">
        <x:v>46023</x:v>
      </x:c>
      <x:c r="D13" s="2" t="str">
        <x:v>ELIM</x:v>
      </x:c>
      <x:c r="E13" s="2" t="str">
        <x:v>budget</x:v>
      </x:c>
      <x:c r="F13" s="26" t="n">
        <x:v>0</x:v>
      </x:c>
      <x:c r="G13" s="26" t="n">
        <x:v>0</x:v>
      </x:c>
      <x:c r="H13" s="26" t="n">
        <x:v>0</x:v>
      </x:c>
      <x:c r="I13" s="26" t="n">
        <x:v>0</x:v>
      </x:c>
      <x:c r="J13" s="26" t="n">
        <x:v>0</x:v>
      </x:c>
      <x:c r="K13" s="26" t="n">
        <x:v>0</x:v>
      </x:c>
      <x:c r="L13" s="26" t="n">
        <x:v>0</x:v>
      </x:c>
      <x:c r="M13" s="26" t="n">
        <x:v>0</x:v>
      </x:c>
      <x:c r="N13" s="26" t="n">
        <x:v>0</x:v>
      </x:c>
      <x:c r="O13" s="26" t="n">
        <x:v>0</x:v>
      </x:c>
      <x:c r="P13" s="27" t="n">
        <x:v>1</x:v>
      </x:c>
      <x:c r="Q13" s="13" t="str">
        <x:v>synthetic:2026-01-budget-ELIM</x:v>
      </x:c>
      <x:c r="R13" s="2" t="n">
        <x:f>COUNT(F13:O13)</x:f>
        <x:v>10</x:v>
      </x:c>
      <x:c r="S13" s="2" t="n">
        <x:f>IF(ISNUMBER(I13),1,0)</x:f>
        <x:v>1</x:v>
      </x:c>
    </x:row>
    <x:row r="14" ht="24" customHeight="1">
      <x:c r="B14" s="2" t="str">
        <x:v>2026-02-actual-A</x:v>
      </x:c>
      <x:c r="C14" s="8" t="n">
        <x:v>46054</x:v>
      </x:c>
      <x:c r="D14" s="2" t="str">
        <x:v>A</x:v>
      </x:c>
      <x:c r="E14" s="2" t="str">
        <x:v>actual</x:v>
      </x:c>
      <x:c r="F14" s="26" t="n">
        <x:v>1000000</x:v>
      </x:c>
      <x:c r="G14" s="26" t="n">
        <x:v>620000</x:v>
      </x:c>
      <x:c r="H14" s="26" t="n">
        <x:v>50000</x:v>
      </x:c>
      <x:c r="I14" s="26" t="n">
        <x:v>20000</x:v>
      </x:c>
      <x:c r="J14" s="26" t="n">
        <x:v>0</x:v>
      </x:c>
      <x:c r="K14" s="26" t="n">
        <x:v>10000</x:v>
      </x:c>
      <x:c r="L14" s="26" t="n">
        <x:v>30000</x:v>
      </x:c>
      <x:c r="M14" s="26" t="n">
        <x:v>0</x:v>
      </x:c>
      <x:c r="N14" s="26" t="n">
        <x:v>10000</x:v>
      </x:c>
      <x:c r="O14" s="26" t="n">
        <x:v>40000</x:v>
      </x:c>
      <x:c r="P14" s="27" t="n">
        <x:v>1</x:v>
      </x:c>
      <x:c r="Q14" s="13" t="str">
        <x:v>synthetic:2026-02-actual-A</x:v>
      </x:c>
      <x:c r="R14" s="2" t="n">
        <x:f>COUNT(F14:O14)</x:f>
        <x:v>10</x:v>
      </x:c>
      <x:c r="S14" s="2" t="n">
        <x:f>IF(ISNUMBER(I14),1,0)</x:f>
        <x:v>1</x:v>
      </x:c>
    </x:row>
    <x:row r="15" ht="24" customHeight="1">
      <x:c r="B15" s="2" t="str">
        <x:v>2026-02-actual-B</x:v>
      </x:c>
      <x:c r="C15" s="8" t="n">
        <x:v>46054</x:v>
      </x:c>
      <x:c r="D15" s="2" t="str">
        <x:v>B</x:v>
      </x:c>
      <x:c r="E15" s="2" t="str">
        <x:v>actual</x:v>
      </x:c>
      <x:c r="F15" s="26" t="n">
        <x:v>700000</x:v>
      </x:c>
      <x:c r="G15" s="26" t="n">
        <x:v>400000</x:v>
      </x:c>
      <x:c r="H15" s="26" t="n">
        <x:v>35000</x:v>
      </x:c>
      <x:c r="I15" s="26" t="n">
        <x:v>15000</x:v>
      </x:c>
      <x:c r="J15" s="26" t="n">
        <x:v>0</x:v>
      </x:c>
      <x:c r="K15" s="26" t="n">
        <x:v>0</x:v>
      </x:c>
      <x:c r="L15" s="26" t="n">
        <x:v>25000</x:v>
      </x:c>
      <x:c r="M15" s="26" t="n">
        <x:v>0</x:v>
      </x:c>
      <x:c r="N15" s="26" t="n">
        <x:v>5000</x:v>
      </x:c>
      <x:c r="O15" s="26" t="n">
        <x:v>35000</x:v>
      </x:c>
      <x:c r="P15" s="27" t="n">
        <x:v>1</x:v>
      </x:c>
      <x:c r="Q15" s="13" t="str">
        <x:v>synthetic:2026-02-actual-B</x:v>
      </x:c>
      <x:c r="R15" s="2" t="n">
        <x:f>COUNT(F15:O15)</x:f>
        <x:v>10</x:v>
      </x:c>
      <x:c r="S15" s="2" t="n">
        <x:f>IF(ISNUMBER(I15),1,0)</x:f>
        <x:v>1</x:v>
      </x:c>
    </x:row>
    <x:row r="16" ht="24" customHeight="1">
      <x:c r="B16" s="2" t="str">
        <x:v>2026-02-actual-CENTER</x:v>
      </x:c>
      <x:c r="C16" s="8" t="n">
        <x:v>46054</x:v>
      </x:c>
      <x:c r="D16" s="2" t="str">
        <x:v>CENTER</x:v>
      </x:c>
      <x:c r="E16" s="2" t="str">
        <x:v>actual</x:v>
      </x:c>
      <x:c r="F16" s="26" t="n">
        <x:v>0</x:v>
      </x:c>
      <x:c r="G16" s="26" t="n">
        <x:v>0</x:v>
      </x:c>
      <x:c r="H16" s="26" t="n">
        <x:v>0</x:v>
      </x:c>
      <x:c r="I16" s="26" t="n">
        <x:v>120000</x:v>
      </x:c>
      <x:c r="J16" s="26" t="n">
        <x:v>0</x:v>
      </x:c>
      <x:c r="K16" s="26" t="n">
        <x:v>0</x:v>
      </x:c>
      <x:c r="L16" s="26" t="n">
        <x:v>0</x:v>
      </x:c>
      <x:c r="M16" s="26" t="n">
        <x:v>0</x:v>
      </x:c>
      <x:c r="N16" s="26" t="n">
        <x:v>0</x:v>
      </x:c>
      <x:c r="O16" s="26" t="n">
        <x:v>0</x:v>
      </x:c>
      <x:c r="P16" s="27" t="n">
        <x:v>1</x:v>
      </x:c>
      <x:c r="Q16" s="13" t="str">
        <x:v>synthetic:2026-02-actual-CENTER</x:v>
      </x:c>
      <x:c r="R16" s="2" t="n">
        <x:f>COUNT(F16:O16)</x:f>
        <x:v>10</x:v>
      </x:c>
      <x:c r="S16" s="2" t="n">
        <x:f>IF(ISNUMBER(I16),1,0)</x:f>
        <x:v>1</x:v>
      </x:c>
    </x:row>
    <x:row r="17" ht="24" customHeight="1">
      <x:c r="B17" s="2" t="str">
        <x:v>2026-02-actual-ELIM</x:v>
      </x:c>
      <x:c r="C17" s="8" t="n">
        <x:v>46054</x:v>
      </x:c>
      <x:c r="D17" s="2" t="str">
        <x:v>ELIM</x:v>
      </x:c>
      <x:c r="E17" s="2" t="str">
        <x:v>actual</x:v>
      </x:c>
      <x:c r="F17" s="26" t="n">
        <x:v>0</x:v>
      </x:c>
      <x:c r="G17" s="26" t="n">
        <x:v>0</x:v>
      </x:c>
      <x:c r="H17" s="26" t="n">
        <x:v>0</x:v>
      </x:c>
      <x:c r="I17" s="26" t="n">
        <x:v>0</x:v>
      </x:c>
      <x:c r="J17" s="26" t="n">
        <x:v>0</x:v>
      </x:c>
      <x:c r="K17" s="26" t="n">
        <x:v>0</x:v>
      </x:c>
      <x:c r="L17" s="26" t="n">
        <x:v>0</x:v>
      </x:c>
      <x:c r="M17" s="26" t="n">
        <x:v>0</x:v>
      </x:c>
      <x:c r="N17" s="26" t="n">
        <x:v>0</x:v>
      </x:c>
      <x:c r="O17" s="26" t="n">
        <x:v>0</x:v>
      </x:c>
      <x:c r="P17" s="27" t="n">
        <x:v>1</x:v>
      </x:c>
      <x:c r="Q17" s="13" t="str">
        <x:v>synthetic:2026-02-actual-ELIM</x:v>
      </x:c>
      <x:c r="R17" s="2" t="n">
        <x:f>COUNT(F17:O17)</x:f>
        <x:v>10</x:v>
      </x:c>
      <x:c r="S17" s="2" t="n">
        <x:f>IF(ISNUMBER(I17),1,0)</x:f>
        <x:v>1</x:v>
      </x:c>
    </x:row>
    <x:row r="18" ht="24" customHeight="1">
      <x:c r="B18" s="2" t="str">
        <x:v>2026-02-budget-A</x:v>
      </x:c>
      <x:c r="C18" s="8" t="n">
        <x:v>46054</x:v>
      </x:c>
      <x:c r="D18" s="2" t="str">
        <x:v>A</x:v>
      </x:c>
      <x:c r="E18" s="2" t="str">
        <x:v>budget</x:v>
      </x:c>
      <x:c r="F18" s="26" t="n">
        <x:v>900000</x:v>
      </x:c>
      <x:c r="G18" s="26" t="n">
        <x:v>500000</x:v>
      </x:c>
      <x:c r="H18" s="26" t="n">
        <x:v>40000</x:v>
      </x:c>
      <x:c r="I18" s="26" t="n">
        <x:v>20000</x:v>
      </x:c>
      <x:c r="J18" s="26" t="n">
        <x:v>10000</x:v>
      </x:c>
      <x:c r="K18" s="26" t="n">
        <x:v>5000</x:v>
      </x:c>
      <x:c r="L18" s="26" t="n">
        <x:v>30000</x:v>
      </x:c>
      <x:c r="M18" s="26" t="n">
        <x:v>0</x:v>
      </x:c>
      <x:c r="N18" s="26" t="n">
        <x:v>10000</x:v>
      </x:c>
      <x:c r="O18" s="26" t="n">
        <x:v>50000</x:v>
      </x:c>
      <x:c r="P18" s="27" t="n">
        <x:v>1</x:v>
      </x:c>
      <x:c r="Q18" s="13" t="str">
        <x:v>synthetic:2026-02-budget-A</x:v>
      </x:c>
      <x:c r="R18" s="2" t="n">
        <x:f>COUNT(F18:O18)</x:f>
        <x:v>10</x:v>
      </x:c>
      <x:c r="S18" s="2" t="n">
        <x:f>IF(ISNUMBER(I18),1,0)</x:f>
        <x:v>1</x:v>
      </x:c>
    </x:row>
    <x:row r="19" ht="24" customHeight="1">
      <x:c r="B19" s="2" t="str">
        <x:v>2026-02-budget-B</x:v>
      </x:c>
      <x:c r="C19" s="8" t="n">
        <x:v>46054</x:v>
      </x:c>
      <x:c r="D19" s="2" t="str">
        <x:v>B</x:v>
      </x:c>
      <x:c r="E19" s="2" t="str">
        <x:v>budget</x:v>
      </x:c>
      <x:c r="F19" s="26" t="n">
        <x:v>600000</x:v>
      </x:c>
      <x:c r="G19" s="26" t="n">
        <x:v>360000</x:v>
      </x:c>
      <x:c r="H19" s="26" t="n">
        <x:v>30000</x:v>
      </x:c>
      <x:c r="I19" s="26" t="n">
        <x:v>10000</x:v>
      </x:c>
      <x:c r="J19" s="26" t="n">
        <x:v>0</x:v>
      </x:c>
      <x:c r="K19" s="26" t="n">
        <x:v>0</x:v>
      </x:c>
      <x:c r="L19" s="26" t="n">
        <x:v>20000</x:v>
      </x:c>
      <x:c r="M19" s="26" t="n">
        <x:v>0</x:v>
      </x:c>
      <x:c r="N19" s="26" t="n">
        <x:v>5000</x:v>
      </x:c>
      <x:c r="O19" s="26" t="n">
        <x:v>25000</x:v>
      </x:c>
      <x:c r="P19" s="27" t="n">
        <x:v>1</x:v>
      </x:c>
      <x:c r="Q19" s="13" t="str">
        <x:v>synthetic:2026-02-budget-B</x:v>
      </x:c>
      <x:c r="R19" s="2" t="n">
        <x:f>COUNT(F19:O19)</x:f>
        <x:v>10</x:v>
      </x:c>
      <x:c r="S19" s="2" t="n">
        <x:f>IF(ISNUMBER(I19),1,0)</x:f>
        <x:v>1</x:v>
      </x:c>
    </x:row>
    <x:row r="20" ht="24" customHeight="1">
      <x:c r="B20" s="2" t="str">
        <x:v>2026-02-budget-CENTER</x:v>
      </x:c>
      <x:c r="C20" s="8" t="n">
        <x:v>46054</x:v>
      </x:c>
      <x:c r="D20" s="2" t="str">
        <x:v>CENTER</x:v>
      </x:c>
      <x:c r="E20" s="2" t="str">
        <x:v>budget</x:v>
      </x:c>
      <x:c r="F20" s="26" t="n">
        <x:v>0</x:v>
      </x:c>
      <x:c r="G20" s="26" t="n">
        <x:v>0</x:v>
      </x:c>
      <x:c r="H20" s="26" t="n">
        <x:v>0</x:v>
      </x:c>
      <x:c r="I20" s="26" t="n">
        <x:v>120000</x:v>
      </x:c>
      <x:c r="J20" s="26" t="n">
        <x:v>0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n">
        <x:v>0</x:v>
      </x:c>
      <x:c r="P20" s="27" t="n">
        <x:v>1</x:v>
      </x:c>
      <x:c r="Q20" s="13" t="str">
        <x:v>synthetic:2026-02-budget-CENTER</x:v>
      </x:c>
      <x:c r="R20" s="2" t="n">
        <x:f>COUNT(F20:O20)</x:f>
        <x:v>10</x:v>
      </x:c>
      <x:c r="S20" s="2" t="n">
        <x:f>IF(ISNUMBER(I20),1,0)</x:f>
        <x:v>1</x:v>
      </x:c>
    </x:row>
    <x:row r="21" ht="24" customHeight="1">
      <x:c r="B21" s="2" t="str">
        <x:v>2026-02-budget-ELIM</x:v>
      </x:c>
      <x:c r="C21" s="8" t="n">
        <x:v>46054</x:v>
      </x:c>
      <x:c r="D21" s="2" t="str">
        <x:v>ELIM</x:v>
      </x:c>
      <x:c r="E21" s="2" t="str">
        <x:v>budget</x:v>
      </x:c>
      <x:c r="F21" s="26" t="n">
        <x:v>0</x:v>
      </x:c>
      <x:c r="G21" s="26" t="n">
        <x:v>0</x:v>
      </x:c>
      <x:c r="H21" s="26" t="n">
        <x:v>0</x:v>
      </x:c>
      <x:c r="I21" s="26" t="n">
        <x:v>0</x:v>
      </x:c>
      <x:c r="J21" s="26" t="n">
        <x:v>0</x:v>
      </x:c>
      <x:c r="K21" s="26" t="n">
        <x:v>0</x:v>
      </x:c>
      <x:c r="L21" s="26" t="n">
        <x:v>0</x:v>
      </x:c>
      <x:c r="M21" s="26" t="n">
        <x:v>0</x:v>
      </x:c>
      <x:c r="N21" s="26" t="n">
        <x:v>0</x:v>
      </x:c>
      <x:c r="O21" s="26" t="n">
        <x:v>0</x:v>
      </x:c>
      <x:c r="P21" s="27" t="n">
        <x:v>1</x:v>
      </x:c>
      <x:c r="Q21" s="13" t="str">
        <x:v>synthetic:2026-02-budget-ELIM</x:v>
      </x:c>
      <x:c r="R21" s="2" t="n">
        <x:f>COUNT(F21:O21)</x:f>
        <x:v>10</x:v>
      </x:c>
      <x:c r="S21" s="2" t="n">
        <x:f>IF(ISNUMBER(I21),1,0)</x:f>
        <x:v>1</x:v>
      </x:c>
    </x:row>
    <x:row r="22" ht="24" customHeight="1">
      <x:c r="B22" s="2" t="str">
        <x:v>2026-03-actual-A</x:v>
      </x:c>
      <x:c r="C22" s="8" t="n">
        <x:v>46082</x:v>
      </x:c>
      <x:c r="D22" s="2" t="str">
        <x:v>A</x:v>
      </x:c>
      <x:c r="E22" s="2" t="str">
        <x:v>actual</x:v>
      </x:c>
      <x:c r="F22" s="26" t="n">
        <x:v>1100000</x:v>
      </x:c>
      <x:c r="G22" s="26" t="n">
        <x:v>650000</x:v>
      </x:c>
      <x:c r="H22" s="26" t="n">
        <x:v>50000</x:v>
      </x:c>
      <x:c r="I22" s="26" t="n">
        <x:v>30000</x:v>
      </x:c>
      <x:c r="J22" s="26" t="n">
        <x:v>0</x:v>
      </x:c>
      <x:c r="K22" s="26" t="n">
        <x:v>10000</x:v>
      </x:c>
      <x:c r="L22" s="26" t="n">
        <x:v>35000</x:v>
      </x:c>
      <x:c r="M22" s="26" t="n">
        <x:v>0</x:v>
      </x:c>
      <x:c r="N22" s="26" t="n">
        <x:v>10000</x:v>
      </x:c>
      <x:c r="O22" s="26" t="n">
        <x:v>50000</x:v>
      </x:c>
      <x:c r="P22" s="27" t="n">
        <x:v>1</x:v>
      </x:c>
      <x:c r="Q22" s="13" t="str">
        <x:v>synthetic:2026-03-actual-A</x:v>
      </x:c>
      <x:c r="R22" s="2" t="n">
        <x:f>COUNT(F22:O22)</x:f>
        <x:v>10</x:v>
      </x:c>
      <x:c r="S22" s="2" t="n">
        <x:f>IF(ISNUMBER(I22),1,0)</x:f>
        <x:v>1</x:v>
      </x:c>
    </x:row>
    <x:row r="23" ht="24" customHeight="1">
      <x:c r="B23" s="2" t="str">
        <x:v>2026-03-actual-B</x:v>
      </x:c>
      <x:c r="C23" s="8" t="n">
        <x:v>46082</x:v>
      </x:c>
      <x:c r="D23" s="2" t="str">
        <x:v>B</x:v>
      </x:c>
      <x:c r="E23" s="2" t="str">
        <x:v>actual</x:v>
      </x:c>
      <x:c r="F23" s="26" t="n">
        <x:v>800000</x:v>
      </x:c>
      <x:c r="G23" s="26" t="n">
        <x:v>460000</x:v>
      </x:c>
      <x:c r="H23" s="26" t="n">
        <x:v>40000</x:v>
      </x:c>
      <x:c r="I23" s="26" t="n">
        <x:v>20000</x:v>
      </x:c>
      <x:c r="J23" s="26" t="n">
        <x:v>0</x:v>
      </x:c>
      <x:c r="K23" s="26" t="n">
        <x:v>0</x:v>
      </x:c>
      <x:c r="L23" s="26" t="n">
        <x:v>25000</x:v>
      </x:c>
      <x:c r="M23" s="26" t="n">
        <x:v>0</x:v>
      </x:c>
      <x:c r="N23" s="26" t="n">
        <x:v>5000</x:v>
      </x:c>
      <x:c r="O23" s="26" t="n">
        <x:v>40000</x:v>
      </x:c>
      <x:c r="P23" s="27" t="n">
        <x:v>1</x:v>
      </x:c>
      <x:c r="Q23" s="13" t="str">
        <x:v>synthetic:2026-03-actual-B</x:v>
      </x:c>
      <x:c r="R23" s="2" t="n">
        <x:f>COUNT(F23:O23)</x:f>
        <x:v>10</x:v>
      </x:c>
      <x:c r="S23" s="2" t="n">
        <x:f>IF(ISNUMBER(I23),1,0)</x:f>
        <x:v>1</x:v>
      </x:c>
    </x:row>
    <x:row r="24" ht="24" customHeight="1">
      <x:c r="B24" s="2" t="str">
        <x:v>2026-03-actual-CENTER</x:v>
      </x:c>
      <x:c r="C24" s="8" t="n">
        <x:v>46082</x:v>
      </x:c>
      <x:c r="D24" s="2" t="str">
        <x:v>CENTER</x:v>
      </x:c>
      <x:c r="E24" s="2" t="str">
        <x:v>actual</x:v>
      </x:c>
      <x:c r="F24" s="26" t="n">
        <x:v>0</x:v>
      </x:c>
      <x:c r="G24" s="26" t="n">
        <x:v>0</x:v>
      </x:c>
      <x:c r="H24" s="26" t="n">
        <x:v>0</x:v>
      </x:c>
      <x:c r="I24" s="26" t="n">
        <x:v>150000</x:v>
      </x:c>
      <x:c r="J24" s="26" t="n">
        <x:v>0</x:v>
      </x:c>
      <x:c r="K24" s="26" t="n">
        <x:v>0</x:v>
      </x:c>
      <x:c r="L24" s="26" t="n">
        <x:v>0</x:v>
      </x:c>
      <x:c r="M24" s="26" t="n">
        <x:v>0</x:v>
      </x:c>
      <x:c r="N24" s="26" t="n">
        <x:v>0</x:v>
      </x:c>
      <x:c r="O24" s="26" t="n">
        <x:v>0</x:v>
      </x:c>
      <x:c r="P24" s="27" t="n">
        <x:v>1</x:v>
      </x:c>
      <x:c r="Q24" s="13" t="str">
        <x:v>synthetic:2026-03-actual-CENTER</x:v>
      </x:c>
      <x:c r="R24" s="2" t="n">
        <x:f>COUNT(F24:O24)</x:f>
        <x:v>10</x:v>
      </x:c>
      <x:c r="S24" s="2" t="n">
        <x:f>IF(ISNUMBER(I24),1,0)</x:f>
        <x:v>1</x:v>
      </x:c>
    </x:row>
    <x:row r="25" ht="24" customHeight="1">
      <x:c r="B25" s="2" t="str">
        <x:v>2026-03-actual-ELIM</x:v>
      </x:c>
      <x:c r="C25" s="8" t="n">
        <x:v>46082</x:v>
      </x:c>
      <x:c r="D25" s="2" t="str">
        <x:v>ELIM</x:v>
      </x:c>
      <x:c r="E25" s="2" t="str">
        <x:v>actual</x:v>
      </x:c>
      <x:c r="F25" s="26" t="n">
        <x:v>0</x:v>
      </x:c>
      <x:c r="G25" s="26" t="n">
        <x:v>0</x:v>
      </x:c>
      <x:c r="H25" s="26" t="n">
        <x:v>0</x:v>
      </x:c>
      <x:c r="I25" s="26" t="n">
        <x:v>0</x:v>
      </x:c>
      <x:c r="J25" s="26" t="n">
        <x:v>0</x:v>
      </x:c>
      <x:c r="K25" s="26" t="n">
        <x:v>0</x:v>
      </x:c>
      <x:c r="L25" s="26" t="n">
        <x:v>0</x:v>
      </x:c>
      <x:c r="M25" s="26" t="n">
        <x:v>0</x:v>
      </x:c>
      <x:c r="N25" s="26" t="n">
        <x:v>0</x:v>
      </x:c>
      <x:c r="O25" s="26" t="n">
        <x:v>0</x:v>
      </x:c>
      <x:c r="P25" s="27" t="n">
        <x:v>1</x:v>
      </x:c>
      <x:c r="Q25" s="13" t="str">
        <x:v>synthetic:2026-03-actual-ELIM</x:v>
      </x:c>
      <x:c r="R25" s="2" t="n">
        <x:f>COUNT(F25:O25)</x:f>
        <x:v>10</x:v>
      </x:c>
      <x:c r="S25" s="2" t="n">
        <x:f>IF(ISNUMBER(I25),1,0)</x:f>
        <x:v>1</x:v>
      </x:c>
    </x:row>
    <x:row r="26" ht="24" customHeight="1">
      <x:c r="B26" s="2" t="str">
        <x:v>2026-03-budget-A</x:v>
      </x:c>
      <x:c r="C26" s="8" t="n">
        <x:v>46082</x:v>
      </x:c>
      <x:c r="D26" s="2" t="str">
        <x:v>A</x:v>
      </x:c>
      <x:c r="E26" s="2" t="str">
        <x:v>budget</x:v>
      </x:c>
      <x:c r="F26" s="26" t="n">
        <x:v>900000</x:v>
      </x:c>
      <x:c r="G26" s="26" t="n">
        <x:v>500000</x:v>
      </x:c>
      <x:c r="H26" s="26" t="n">
        <x:v>40000</x:v>
      </x:c>
      <x:c r="I26" s="26" t="n">
        <x:v>20000</x:v>
      </x:c>
      <x:c r="J26" s="26" t="n">
        <x:v>10000</x:v>
      </x:c>
      <x:c r="K26" s="26" t="n">
        <x:v>5000</x:v>
      </x:c>
      <x:c r="L26" s="26" t="n">
        <x:v>30000</x:v>
      </x:c>
      <x:c r="M26" s="26" t="n">
        <x:v>0</x:v>
      </x:c>
      <x:c r="N26" s="26" t="n">
        <x:v>10000</x:v>
      </x:c>
      <x:c r="O26" s="26" t="n">
        <x:v>50000</x:v>
      </x:c>
      <x:c r="P26" s="27" t="n">
        <x:v>1</x:v>
      </x:c>
      <x:c r="Q26" s="13" t="str">
        <x:v>synthetic:2026-03-budget-A</x:v>
      </x:c>
      <x:c r="R26" s="2" t="n">
        <x:f>COUNT(F26:O26)</x:f>
        <x:v>10</x:v>
      </x:c>
      <x:c r="S26" s="2" t="n">
        <x:f>IF(ISNUMBER(I26),1,0)</x:f>
        <x:v>1</x:v>
      </x:c>
    </x:row>
    <x:row r="27" ht="24" customHeight="1">
      <x:c r="B27" s="2" t="str">
        <x:v>2026-03-budget-B</x:v>
      </x:c>
      <x:c r="C27" s="8" t="n">
        <x:v>46082</x:v>
      </x:c>
      <x:c r="D27" s="2" t="str">
        <x:v>B</x:v>
      </x:c>
      <x:c r="E27" s="2" t="str">
        <x:v>budget</x:v>
      </x:c>
      <x:c r="F27" s="26" t="n">
        <x:v>600000</x:v>
      </x:c>
      <x:c r="G27" s="26" t="n">
        <x:v>360000</x:v>
      </x:c>
      <x:c r="H27" s="26" t="n">
        <x:v>30000</x:v>
      </x:c>
      <x:c r="I27" s="26" t="n">
        <x:v>10000</x:v>
      </x:c>
      <x:c r="J27" s="26" t="n">
        <x:v>0</x:v>
      </x:c>
      <x:c r="K27" s="26" t="n">
        <x:v>0</x:v>
      </x:c>
      <x:c r="L27" s="26" t="n">
        <x:v>20000</x:v>
      </x:c>
      <x:c r="M27" s="26" t="n">
        <x:v>0</x:v>
      </x:c>
      <x:c r="N27" s="26" t="n">
        <x:v>5000</x:v>
      </x:c>
      <x:c r="O27" s="26" t="n">
        <x:v>25000</x:v>
      </x:c>
      <x:c r="P27" s="27" t="n">
        <x:v>1</x:v>
      </x:c>
      <x:c r="Q27" s="13" t="str">
        <x:v>synthetic:2026-03-budget-B</x:v>
      </x:c>
      <x:c r="R27" s="2" t="n">
        <x:f>COUNT(F27:O27)</x:f>
        <x:v>10</x:v>
      </x:c>
      <x:c r="S27" s="2" t="n">
        <x:f>IF(ISNUMBER(I27),1,0)</x:f>
        <x:v>1</x:v>
      </x:c>
    </x:row>
    <x:row r="28" ht="24" customHeight="1">
      <x:c r="B28" s="2" t="str">
        <x:v>2026-03-budget-CENTER</x:v>
      </x:c>
      <x:c r="C28" s="8" t="n">
        <x:v>46082</x:v>
      </x:c>
      <x:c r="D28" s="2" t="str">
        <x:v>CENTER</x:v>
      </x:c>
      <x:c r="E28" s="2" t="str">
        <x:v>budget</x:v>
      </x:c>
      <x:c r="F28" s="26" t="n">
        <x:v>0</x:v>
      </x:c>
      <x:c r="G28" s="26" t="n">
        <x:v>0</x:v>
      </x:c>
      <x:c r="H28" s="26" t="n">
        <x:v>0</x:v>
      </x:c>
      <x:c r="I28" s="26" t="n">
        <x:v>120000</x:v>
      </x:c>
      <x:c r="J28" s="26" t="n">
        <x:v>0</x:v>
      </x:c>
      <x:c r="K28" s="26" t="n">
        <x:v>0</x:v>
      </x:c>
      <x:c r="L28" s="26" t="n">
        <x:v>0</x:v>
      </x:c>
      <x:c r="M28" s="26" t="n">
        <x:v>0</x:v>
      </x:c>
      <x:c r="N28" s="26" t="n">
        <x:v>0</x:v>
      </x:c>
      <x:c r="O28" s="26" t="n">
        <x:v>0</x:v>
      </x:c>
      <x:c r="P28" s="27" t="n">
        <x:v>1</x:v>
      </x:c>
      <x:c r="Q28" s="13" t="str">
        <x:v>synthetic:2026-03-budget-CENTER</x:v>
      </x:c>
      <x:c r="R28" s="2" t="n">
        <x:f>COUNT(F28:O28)</x:f>
        <x:v>10</x:v>
      </x:c>
      <x:c r="S28" s="2" t="n">
        <x:f>IF(ISNUMBER(I28),1,0)</x:f>
        <x:v>1</x:v>
      </x:c>
    </x:row>
    <x:row r="29" ht="24" customHeight="1">
      <x:c r="B29" s="2" t="str">
        <x:v>2026-03-budget-ELIM</x:v>
      </x:c>
      <x:c r="C29" s="8" t="n">
        <x:v>46082</x:v>
      </x:c>
      <x:c r="D29" s="2" t="str">
        <x:v>ELIM</x:v>
      </x:c>
      <x:c r="E29" s="2" t="str">
        <x:v>budget</x:v>
      </x:c>
      <x:c r="F29" s="26" t="n">
        <x:v>0</x:v>
      </x:c>
      <x:c r="G29" s="26" t="n">
        <x:v>0</x:v>
      </x:c>
      <x:c r="H29" s="26" t="n">
        <x:v>0</x:v>
      </x:c>
      <x:c r="I29" s="26" t="n">
        <x:v>0</x:v>
      </x:c>
      <x:c r="J29" s="26" t="n">
        <x:v>0</x:v>
      </x:c>
      <x:c r="K29" s="26" t="n">
        <x:v>0</x:v>
      </x:c>
      <x:c r="L29" s="26" t="n">
        <x:v>0</x:v>
      </x:c>
      <x:c r="M29" s="26" t="n">
        <x:v>0</x:v>
      </x:c>
      <x:c r="N29" s="26" t="n">
        <x:v>0</x:v>
      </x:c>
      <x:c r="O29" s="26" t="n">
        <x:v>0</x:v>
      </x:c>
      <x:c r="P29" s="27" t="n">
        <x:v>1</x:v>
      </x:c>
      <x:c r="Q29" s="13" t="str">
        <x:v>synthetic:2026-03-budget-ELIM</x:v>
      </x:c>
      <x:c r="R29" s="2" t="n">
        <x:f>COUNT(F29:O29)</x:f>
        <x:v>10</x:v>
      </x:c>
      <x:c r="S29" s="2" t="n">
        <x:f>IF(ISNUMBER(I29),1,0)</x:f>
        <x:v>1</x:v>
      </x:c>
    </x:row>
  </x:sheetData>
  <x:dataValidations count="1">
    <x:dataValidation type="list" sqref="P6:P29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4" hidden="0" customWidth="1"/>
    <x:col min="1" max="1" width="3" hidden="0" customWidth="1"/>
  </x:cols>
  <x:sheetData>
    <x:row r="2" ht="24" customHeight="1">
      <x:c r="B2" s="3" t="str">
        <x:v>Распределение расходов центра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B3" s="2" t="str">
        <x:v>Весь пул — управленческие расходы CENTER. При нулевых базах расходы остаются в центре.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0" customHeight="1">
      <x:c r="B5" s="7" t="str">
        <x:v>Месяц</x:v>
      </x:c>
      <x:c r="C5" s="7" t="str">
        <x:v>Сценарий</x:v>
      </x:c>
      <x:c r="D5" s="7" t="str">
        <x:v>Пул, руб.</x:v>
      </x:c>
      <x:c r="E5" s="7" t="str">
        <x:v>База A</x:v>
      </x:c>
      <x:c r="F5" s="7" t="str">
        <x:v>База B</x:v>
      </x:c>
      <x:c r="G5" s="7" t="str">
        <x:v>Всего база</x:v>
      </x:c>
      <x:c r="H5" s="7" t="str">
        <x:v>Расход A</x:v>
      </x:c>
      <x:c r="I5" s="7" t="str">
        <x:v>Расход B</x:v>
      </x:c>
      <x:c r="J5" s="7" t="str">
        <x:v>Остаток центра</x:v>
      </x:c>
      <x:c r="K5" s="7" t="str">
        <x:v>Разница, руб.</x:v>
      </x:c>
      <x:c r="L5" s="7" t="str">
        <x:v>Состояние</x:v>
      </x:c>
    </x:row>
    <x:row r="6" ht="24" customHeight="1">
      <x:c r="B6" s="8" t="n">
        <x:v>46023</x:v>
      </x:c>
      <x:c r="C6" s="2" t="str">
        <x:v>actual</x:v>
      </x:c>
      <x:c r="D6" s="28" t="n">
        <x:f>IF(COUNTIFS('Данные'!$C$6:$C$29,B6,'Данные'!$E$6:$E$29,C6,'Данные'!$D$6:$D$29,"CENTER",'Данные'!$S$6:$S$29,1)=1,SUMIFS('Данные'!$I$6:$I$29,'Данные'!$C$6:$C$29,B6,'Данные'!$E$6:$E$29,C6,'Данные'!$D$6:$D$29,"CENTER"),"н/д")</x:f>
        <x:v>120000</x:v>
      </x:c>
      <x:c r="E6" s="26" t="n">
        <x:v>2</x:v>
      </x:c>
      <x:c r="F6" s="26" t="n">
        <x:v>1</x:v>
      </x:c>
      <x:c r="G6" s="29" t="n">
        <x:f>IF(AND(COUNT(E6:F6)=2,MIN(E6:F6)&gt;=0),SUM(E6:F6),"н/д")</x:f>
        <x:v>3</x:v>
      </x:c>
      <x:c r="H6" s="29" t="n">
        <x:f>IF(COUNT(D6,G6)=2,IF(D6&lt;0,"н/д",IF(G6=0,0,ROUND(D6*E6/G6,2))),"н/д")</x:f>
        <x:v>80000</x:v>
      </x:c>
      <x:c r="I6" s="29" t="n">
        <x:f>IF(COUNT(D6,G6,H6)=3,IF(G6=0,0,D6-H6),"н/д")</x:f>
        <x:v>40000</x:v>
      </x:c>
      <x:c r="J6" s="29" t="n">
        <x:f>IF(COUNT(D6,H6:I6)=3,D6-SUM(H6:I6),"н/д")</x:f>
        <x:v>0</x:v>
      </x:c>
      <x:c r="K6" s="29" t="n">
        <x:f>IF(COUNT(D6,H6:J6)=4,D6-SUM(H6:J6),"н/д")</x:f>
        <x:v>0</x:v>
      </x:c>
      <x:c r="L6" s="2" t="str">
        <x:f>IF(COUNT(D6:J6)&lt;&gt;7,"Нет данных",IF(J6&lt;&gt;0,"Не распределено","Распределено"))</x:f>
        <x:v>Распределено</x:v>
      </x:c>
    </x:row>
    <x:row r="7" ht="24" customHeight="1">
      <x:c r="B7" s="8" t="n">
        <x:v>46023</x:v>
      </x:c>
      <x:c r="C7" s="2" t="str">
        <x:v>budget</x:v>
      </x:c>
      <x:c r="D7" s="28" t="n">
        <x:f>IF(COUNTIFS('Данные'!$C$6:$C$29,B7,'Данные'!$E$6:$E$29,C7,'Данные'!$D$6:$D$29,"CENTER",'Данные'!$S$6:$S$29,1)=1,SUMIFS('Данные'!$I$6:$I$29,'Данные'!$C$6:$C$29,B7,'Данные'!$E$6:$E$29,C7,'Данные'!$D$6:$D$29,"CENTER"),"н/д")</x:f>
        <x:v>120000</x:v>
      </x:c>
      <x:c r="E7" s="26" t="n">
        <x:v>2</x:v>
      </x:c>
      <x:c r="F7" s="26" t="n">
        <x:v>1</x:v>
      </x:c>
      <x:c r="G7" s="29" t="n">
        <x:f>IF(AND(COUNT(E7:F7)=2,MIN(E7:F7)&gt;=0),SUM(E7:F7),"н/д")</x:f>
        <x:v>3</x:v>
      </x:c>
      <x:c r="H7" s="29" t="n">
        <x:f>IF(COUNT(D7,G7)=2,IF(D7&lt;0,"н/д",IF(G7=0,0,ROUND(D7*E7/G7,2))),"н/д")</x:f>
        <x:v>80000</x:v>
      </x:c>
      <x:c r="I7" s="29" t="n">
        <x:f>IF(COUNT(D7,G7,H7)=3,IF(G7=0,0,D7-H7),"н/д")</x:f>
        <x:v>40000</x:v>
      </x:c>
      <x:c r="J7" s="29" t="n">
        <x:f>IF(COUNT(D7,H7:I7)=3,D7-SUM(H7:I7),"н/д")</x:f>
        <x:v>0</x:v>
      </x:c>
      <x:c r="K7" s="29" t="n">
        <x:f>IF(COUNT(D7,H7:J7)=4,D7-SUM(H7:J7),"н/д")</x:f>
        <x:v>0</x:v>
      </x:c>
      <x:c r="L7" s="2" t="str">
        <x:f>IF(COUNT(D7:J7)&lt;&gt;7,"Нет данных",IF(J7&lt;&gt;0,"Не распределено","Распределено"))</x:f>
        <x:v>Распределено</x:v>
      </x:c>
    </x:row>
    <x:row r="8" ht="24" customHeight="1">
      <x:c r="B8" s="8" t="n">
        <x:v>46054</x:v>
      </x:c>
      <x:c r="C8" s="2" t="str">
        <x:v>actual</x:v>
      </x:c>
      <x:c r="D8" s="28" t="n">
        <x:f>IF(COUNTIFS('Данные'!$C$6:$C$29,B8,'Данные'!$E$6:$E$29,C8,'Данные'!$D$6:$D$29,"CENTER",'Данные'!$S$6:$S$29,1)=1,SUMIFS('Данные'!$I$6:$I$29,'Данные'!$C$6:$C$29,B8,'Данные'!$E$6:$E$29,C8,'Данные'!$D$6:$D$29,"CENTER"),"н/д")</x:f>
        <x:v>120000</x:v>
      </x:c>
      <x:c r="E8" s="26" t="n">
        <x:v>1</x:v>
      </x:c>
      <x:c r="F8" s="26" t="n">
        <x:v>1</x:v>
      </x:c>
      <x:c r="G8" s="29" t="n">
        <x:f>IF(AND(COUNT(E8:F8)=2,MIN(E8:F8)&gt;=0),SUM(E8:F8),"н/д")</x:f>
        <x:v>2</x:v>
      </x:c>
      <x:c r="H8" s="29" t="n">
        <x:f>IF(COUNT(D8,G8)=2,IF(D8&lt;0,"н/д",IF(G8=0,0,ROUND(D8*E8/G8,2))),"н/д")</x:f>
        <x:v>60000</x:v>
      </x:c>
      <x:c r="I8" s="29" t="n">
        <x:f>IF(COUNT(D8,G8,H8)=3,IF(G8=0,0,D8-H8),"н/д")</x:f>
        <x:v>60000</x:v>
      </x:c>
      <x:c r="J8" s="29" t="n">
        <x:f>IF(COUNT(D8,H8:I8)=3,D8-SUM(H8:I8),"н/д")</x:f>
        <x:v>0</x:v>
      </x:c>
      <x:c r="K8" s="29" t="n">
        <x:f>IF(COUNT(D8,H8:J8)=4,D8-SUM(H8:J8),"н/д")</x:f>
        <x:v>0</x:v>
      </x:c>
      <x:c r="L8" s="2" t="str">
        <x:f>IF(COUNT(D8:J8)&lt;&gt;7,"Нет данных",IF(J8&lt;&gt;0,"Не распределено","Распределено"))</x:f>
        <x:v>Распределено</x:v>
      </x:c>
    </x:row>
    <x:row r="9" ht="24" customHeight="1">
      <x:c r="B9" s="8" t="n">
        <x:v>46054</x:v>
      </x:c>
      <x:c r="C9" s="2" t="str">
        <x:v>budget</x:v>
      </x:c>
      <x:c r="D9" s="28" t="n">
        <x:f>IF(COUNTIFS('Данные'!$C$6:$C$29,B9,'Данные'!$E$6:$E$29,C9,'Данные'!$D$6:$D$29,"CENTER",'Данные'!$S$6:$S$29,1)=1,SUMIFS('Данные'!$I$6:$I$29,'Данные'!$C$6:$C$29,B9,'Данные'!$E$6:$E$29,C9,'Данные'!$D$6:$D$29,"CENTER"),"н/д")</x:f>
        <x:v>120000</x:v>
      </x:c>
      <x:c r="E9" s="26" t="n">
        <x:v>2</x:v>
      </x:c>
      <x:c r="F9" s="26" t="n">
        <x:v>1</x:v>
      </x:c>
      <x:c r="G9" s="29" t="n">
        <x:f>IF(AND(COUNT(E9:F9)=2,MIN(E9:F9)&gt;=0),SUM(E9:F9),"н/д")</x:f>
        <x:v>3</x:v>
      </x:c>
      <x:c r="H9" s="29" t="n">
        <x:f>IF(COUNT(D9,G9)=2,IF(D9&lt;0,"н/д",IF(G9=0,0,ROUND(D9*E9/G9,2))),"н/д")</x:f>
        <x:v>80000</x:v>
      </x:c>
      <x:c r="I9" s="29" t="n">
        <x:f>IF(COUNT(D9,G9,H9)=3,IF(G9=0,0,D9-H9),"н/д")</x:f>
        <x:v>40000</x:v>
      </x:c>
      <x:c r="J9" s="29" t="n">
        <x:f>IF(COUNT(D9,H9:I9)=3,D9-SUM(H9:I9),"н/д")</x:f>
        <x:v>0</x:v>
      </x:c>
      <x:c r="K9" s="29" t="n">
        <x:f>IF(COUNT(D9,H9:J9)=4,D9-SUM(H9:J9),"н/д")</x:f>
        <x:v>0</x:v>
      </x:c>
      <x:c r="L9" s="2" t="str">
        <x:f>IF(COUNT(D9:J9)&lt;&gt;7,"Нет данных",IF(J9&lt;&gt;0,"Не распределено","Распределено"))</x:f>
        <x:v>Распределено</x:v>
      </x:c>
    </x:row>
    <x:row r="10" ht="24" customHeight="1">
      <x:c r="B10" s="8" t="n">
        <x:v>46082</x:v>
      </x:c>
      <x:c r="C10" s="2" t="str">
        <x:v>actual</x:v>
      </x:c>
      <x:c r="D10" s="28" t="n">
        <x:f>IF(COUNTIFS('Данные'!$C$6:$C$29,B10,'Данные'!$E$6:$E$29,C10,'Данные'!$D$6:$D$29,"CENTER",'Данные'!$S$6:$S$29,1)=1,SUMIFS('Данные'!$I$6:$I$29,'Данные'!$C$6:$C$29,B10,'Данные'!$E$6:$E$29,C10,'Данные'!$D$6:$D$29,"CENTER"),"н/д")</x:f>
        <x:v>150000</x:v>
      </x:c>
      <x:c r="E10" s="26" t="n">
        <x:v>3</x:v>
      </x:c>
      <x:c r="F10" s="26" t="n">
        <x:v>2</x:v>
      </x:c>
      <x:c r="G10" s="29" t="n">
        <x:f>IF(AND(COUNT(E10:F10)=2,MIN(E10:F10)&gt;=0),SUM(E10:F10),"н/д")</x:f>
        <x:v>5</x:v>
      </x:c>
      <x:c r="H10" s="29" t="n">
        <x:f>IF(COUNT(D10,G10)=2,IF(D10&lt;0,"н/д",IF(G10=0,0,ROUND(D10*E10/G10,2))),"н/д")</x:f>
        <x:v>90000</x:v>
      </x:c>
      <x:c r="I10" s="29" t="n">
        <x:f>IF(COUNT(D10,G10,H10)=3,IF(G10=0,0,D10-H10),"н/д")</x:f>
        <x:v>60000</x:v>
      </x:c>
      <x:c r="J10" s="29" t="n">
        <x:f>IF(COUNT(D10,H10:I10)=3,D10-SUM(H10:I10),"н/д")</x:f>
        <x:v>0</x:v>
      </x:c>
      <x:c r="K10" s="29" t="n">
        <x:f>IF(COUNT(D10,H10:J10)=4,D10-SUM(H10:J10),"н/д")</x:f>
        <x:v>0</x:v>
      </x:c>
      <x:c r="L10" s="2" t="str">
        <x:f>IF(COUNT(D10:J10)&lt;&gt;7,"Нет данных",IF(J10&lt;&gt;0,"Не распределено","Распределено"))</x:f>
        <x:v>Распределено</x:v>
      </x:c>
    </x:row>
    <x:row r="11" ht="24" customHeight="1">
      <x:c r="B11" s="8" t="n">
        <x:v>46082</x:v>
      </x:c>
      <x:c r="C11" s="2" t="str">
        <x:v>budget</x:v>
      </x:c>
      <x:c r="D11" s="28" t="n">
        <x:f>IF(COUNTIFS('Данные'!$C$6:$C$29,B11,'Данные'!$E$6:$E$29,C11,'Данные'!$D$6:$D$29,"CENTER",'Данные'!$S$6:$S$29,1)=1,SUMIFS('Данные'!$I$6:$I$29,'Данные'!$C$6:$C$29,B11,'Данные'!$E$6:$E$29,C11,'Данные'!$D$6:$D$29,"CENTER"),"н/д")</x:f>
        <x:v>120000</x:v>
      </x:c>
      <x:c r="E11" s="26" t="n">
        <x:v>2</x:v>
      </x:c>
      <x:c r="F11" s="26" t="n">
        <x:v>1</x:v>
      </x:c>
      <x:c r="G11" s="29" t="n">
        <x:f>IF(AND(COUNT(E11:F11)=2,MIN(E11:F11)&gt;=0),SUM(E11:F11),"н/д")</x:f>
        <x:v>3</x:v>
      </x:c>
      <x:c r="H11" s="29" t="n">
        <x:f>IF(COUNT(D11,G11)=2,IF(D11&lt;0,"н/д",IF(G11=0,0,ROUND(D11*E11/G11,2))),"н/д")</x:f>
        <x:v>80000</x:v>
      </x:c>
      <x:c r="I11" s="29" t="n">
        <x:f>IF(COUNT(D11,G11,H11)=3,IF(G11=0,0,D11-H11),"н/д")</x:f>
        <x:v>40000</x:v>
      </x:c>
      <x:c r="J11" s="29" t="n">
        <x:f>IF(COUNT(D11,H11:I11)=3,D11-SUM(H11:I11),"н/д")</x:f>
        <x:v>0</x:v>
      </x:c>
      <x:c r="K11" s="29" t="n">
        <x:f>IF(COUNT(D11,H11:J11)=4,D11-SUM(H11:J11),"н/д")</x:f>
        <x:v>0</x:v>
      </x:c>
      <x:c r="L11" s="2" t="str">
        <x:f>IF(COUNT(D11:J11)&lt;&gt;7,"Нет данных",IF(J11&lt;&gt;0,"Не распределено","Распределено"))</x:f>
        <x:v>Распределено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1" max="1" width="3" hidden="0" customWidth="1"/>
  </x:cols>
  <x:sheetData>
    <x:row r="2" ht="24" customHeight="1">
      <x:c r="B2" s="3" t="str">
        <x:v>Расчёт по объектам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4" customHeight="1">
      <x:c r="B3" s="2" t="str">
        <x:v>CENTER — корпоративный центр; ELIM — подготовленные корректировки свода. Амортизация уже включена в затраты.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4" customHeight="1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40" customHeight="1">
      <x:c r="B5" s="7" t="str">
        <x:v>Месяц</x:v>
      </x:c>
      <x:c r="C5" s="7" t="str">
        <x:v>Объект</x:v>
      </x:c>
      <x:c r="D5" s="7" t="str">
        <x:v>Сценарий</x:v>
      </x:c>
      <x:c r="E5" s="7" t="str">
        <x:v>Выручка</x:v>
      </x:c>
      <x:c r="F5" s="7" t="str">
        <x:v>Себестоимость</x:v>
      </x:c>
      <x:c r="G5" s="7" t="str">
        <x:v>Валовая прибыль</x:v>
      </x:c>
      <x:c r="H5" s="7" t="str">
        <x:v>EBIT до распр.</x:v>
      </x:c>
      <x:c r="I5" s="7" t="str">
        <x:v>Распределение</x:v>
      </x:c>
      <x:c r="J5" s="7" t="str">
        <x:v>EBIT</x:v>
      </x:c>
      <x:c r="K5" s="7" t="str">
        <x:v>Амортизация</x:v>
      </x:c>
      <x:c r="L5" s="7" t="str">
        <x:v>EBITDA</x:v>
      </x:c>
      <x:c r="M5" s="7" t="str">
        <x:v>До налога</x:v>
      </x:c>
      <x:c r="N5" s="7" t="str">
        <x:v>Налог</x:v>
      </x:c>
      <x:c r="O5" s="7" t="str">
        <x:v>Чистая прибыль</x:v>
      </x:c>
      <x:c r="P5" s="7" t="str">
        <x:v>Чистая маржа</x:v>
      </x:c>
      <x:c r="Q5" s="7" t="str">
        <x:v>Коммерческие</x:v>
      </x:c>
      <x:c r="R5" s="7" t="str">
        <x:v>Управленческие после распр.</x:v>
      </x:c>
      <x:c r="S5" s="7" t="str">
        <x:v>Прочие доходы</x:v>
      </x:c>
      <x:c r="T5" s="7" t="str">
        <x:v>Прочие расходы</x:v>
      </x:c>
      <x:c r="U5" s="7" t="str">
        <x:v>Фин. доходы</x:v>
      </x:c>
      <x:c r="V5" s="7" t="str">
        <x:v>Фин. расходы</x:v>
      </x:c>
    </x:row>
    <x:row r="6" ht="24" customHeight="1">
      <x:c r="B6" s="16" t="n">
        <x:f>'Данные'!C6</x:f>
        <x:v>46023</x:v>
      </x:c>
      <x:c r="C6" s="17" t="str">
        <x:f>'Данные'!D6</x:f>
        <x:v>A</x:v>
      </x:c>
      <x:c r="D6" s="17" t="str">
        <x:f>'Данные'!E6</x:f>
        <x:v>actual</x:v>
      </x:c>
      <x:c r="E6" s="28" t="n">
        <x:f>IF(ISNUMBER('Данные'!F6),'Данные'!F6,"н/д")</x:f>
        <x:v>900000</x:v>
      </x:c>
      <x:c r="F6" s="28" t="n">
        <x:f>IF(ISNUMBER('Данные'!G6),'Данные'!G6,"н/д")</x:f>
        <x:v>500000</x:v>
      </x:c>
      <x:c r="G6" s="29" t="n">
        <x:f>IF(COUNT(E6:F6)=2,E6-F6,"н/д")</x:f>
        <x:v>400000</x:v>
      </x:c>
      <x:c r="H6" s="28" t="n">
        <x:f>IF(COUNT(G6,'Данные'!H6:K6)=5,G6-'Данные'!H6-'Данные'!I6+'Данные'!J6-'Данные'!K6,"н/д")</x:f>
        <x:v>345000</x:v>
      </x:c>
      <x:c r="I6" s="28" t="n">
        <x:f>'Распределение'!H6</x:f>
        <x:v>80000</x:v>
      </x:c>
      <x:c r="J6" s="29" t="n">
        <x:f>IF(COUNT(H6:I6)=2,H6-I6,"н/д")</x:f>
        <x:v>265000</x:v>
      </x:c>
      <x:c r="K6" s="28" t="n">
        <x:f>IF(ISNUMBER('Данные'!L6),'Данные'!L6,"н/д")</x:f>
        <x:v>30000</x:v>
      </x:c>
      <x:c r="L6" s="29" t="n">
        <x:f>IF(COUNT(J6:K6)=2,SUM(J6:K6),"н/д")</x:f>
        <x:v>295000</x:v>
      </x:c>
      <x:c r="M6" s="28" t="n">
        <x:f>IF(COUNT(J6,'Данные'!M6:N6)=3,J6+'Данные'!M6-'Данные'!N6,"н/д")</x:f>
        <x:v>255000</x:v>
      </x:c>
      <x:c r="N6" s="28" t="n">
        <x:f>IF(ISNUMBER('Данные'!O6),'Данные'!O6,"н/д")</x:f>
        <x:v>50000</x:v>
      </x:c>
      <x:c r="O6" s="29" t="n">
        <x:f>IF(COUNT(M6:N6)=2,M6-N6,"н/д")</x:f>
        <x:v>205000</x:v>
      </x:c>
      <x:c r="P6" s="30" t="n">
        <x:f>IF(COUNT(E6,O6)=2,IF(E6=0,"н/д",O6/E6),"н/д")</x:f>
        <x:v>0.22777777777777777</x:v>
      </x:c>
      <x:c r="Q6" s="28" t="n">
        <x:f>IF(ISNUMBER('Данные'!H6),'Данные'!H6,"н/д")</x:f>
        <x:v>40000</x:v>
      </x:c>
      <x:c r="R6" s="28" t="n">
        <x:f>IF(COUNT('Данные'!I6,I6)=2,'Данные'!I6+I6,"н/д")</x:f>
        <x:v>100000</x:v>
      </x:c>
      <x:c r="S6" s="28" t="n">
        <x:f>IF(ISNUMBER('Данные'!J6),'Данные'!J6,"н/д")</x:f>
        <x:v>10000</x:v>
      </x:c>
      <x:c r="T6" s="28" t="n">
        <x:f>IF(ISNUMBER('Данные'!K6),'Данные'!K6,"н/д")</x:f>
        <x:v>5000</x:v>
      </x:c>
      <x:c r="U6" s="28" t="n">
        <x:f>IF(ISNUMBER('Данные'!M6),'Данные'!M6,"н/д")</x:f>
        <x:v>0</x:v>
      </x:c>
      <x:c r="V6" s="28" t="n">
        <x:f>IF(ISNUMBER('Данные'!N6),'Данные'!N6,"н/д")</x:f>
        <x:v>10000</x:v>
      </x:c>
    </x:row>
    <x:row r="7" ht="24" customHeight="1">
      <x:c r="B7" s="16" t="n">
        <x:f>'Данные'!C7</x:f>
        <x:v>46023</x:v>
      </x:c>
      <x:c r="C7" s="17" t="str">
        <x:f>'Данные'!D7</x:f>
        <x:v>B</x:v>
      </x:c>
      <x:c r="D7" s="17" t="str">
        <x:f>'Данные'!E7</x:f>
        <x:v>actual</x:v>
      </x:c>
      <x:c r="E7" s="28" t="n">
        <x:f>IF(ISNUMBER('Данные'!F7),'Данные'!F7,"н/д")</x:f>
        <x:v>600000</x:v>
      </x:c>
      <x:c r="F7" s="28" t="n">
        <x:f>IF(ISNUMBER('Данные'!G7),'Данные'!G7,"н/д")</x:f>
        <x:v>360000</x:v>
      </x:c>
      <x:c r="G7" s="29" t="n">
        <x:f>IF(COUNT(E7:F7)=2,E7-F7,"н/д")</x:f>
        <x:v>240000</x:v>
      </x:c>
      <x:c r="H7" s="28" t="n">
        <x:f>IF(COUNT(G7,'Данные'!H7:K7)=5,G7-'Данные'!H7-'Данные'!I7+'Данные'!J7-'Данные'!K7,"н/д")</x:f>
        <x:v>200000</x:v>
      </x:c>
      <x:c r="I7" s="28" t="n">
        <x:f>'Распределение'!I6</x:f>
        <x:v>40000</x:v>
      </x:c>
      <x:c r="J7" s="29" t="n">
        <x:f>IF(COUNT(H7:I7)=2,H7-I7,"н/д")</x:f>
        <x:v>160000</x:v>
      </x:c>
      <x:c r="K7" s="28" t="n">
        <x:f>IF(ISNUMBER('Данные'!L7),'Данные'!L7,"н/д")</x:f>
        <x:v>20000</x:v>
      </x:c>
      <x:c r="L7" s="29" t="n">
        <x:f>IF(COUNT(J7:K7)=2,SUM(J7:K7),"н/д")</x:f>
        <x:v>180000</x:v>
      </x:c>
      <x:c r="M7" s="28" t="n">
        <x:f>IF(COUNT(J7,'Данные'!M7:N7)=3,J7+'Данные'!M7-'Данные'!N7,"н/д")</x:f>
        <x:v>155000</x:v>
      </x:c>
      <x:c r="N7" s="28" t="n">
        <x:f>IF(ISNUMBER('Данные'!O7),'Данные'!O7,"н/д")</x:f>
        <x:v>25000</x:v>
      </x:c>
      <x:c r="O7" s="29" t="n">
        <x:f>IF(COUNT(M7:N7)=2,M7-N7,"н/д")</x:f>
        <x:v>130000</x:v>
      </x:c>
      <x:c r="P7" s="30" t="n">
        <x:f>IF(COUNT(E7,O7)=2,IF(E7=0,"н/д",O7/E7),"н/д")</x:f>
        <x:v>0.21666666666666667</x:v>
      </x:c>
      <x:c r="Q7" s="28" t="n">
        <x:f>IF(ISNUMBER('Данные'!H7),'Данные'!H7,"н/д")</x:f>
        <x:v>30000</x:v>
      </x:c>
      <x:c r="R7" s="28" t="n">
        <x:f>IF(COUNT('Данные'!I7,I7)=2,'Данные'!I7+I7,"н/д")</x:f>
        <x:v>50000</x:v>
      </x:c>
      <x:c r="S7" s="28" t="n">
        <x:f>IF(ISNUMBER('Данные'!J7),'Данные'!J7,"н/д")</x:f>
        <x:v>0</x:v>
      </x:c>
      <x:c r="T7" s="28" t="n">
        <x:f>IF(ISNUMBER('Данные'!K7),'Данные'!K7,"н/д")</x:f>
        <x:v>0</x:v>
      </x:c>
      <x:c r="U7" s="28" t="n">
        <x:f>IF(ISNUMBER('Данные'!M7),'Данные'!M7,"н/д")</x:f>
        <x:v>0</x:v>
      </x:c>
      <x:c r="V7" s="28" t="n">
        <x:f>IF(ISNUMBER('Данные'!N7),'Данные'!N7,"н/д")</x:f>
        <x:v>5000</x:v>
      </x:c>
    </x:row>
    <x:row r="8" ht="24" customHeight="1">
      <x:c r="B8" s="16" t="n">
        <x:f>'Данные'!C8</x:f>
        <x:v>46023</x:v>
      </x:c>
      <x:c r="C8" s="17" t="str">
        <x:f>'Данные'!D8</x:f>
        <x:v>CENTER</x:v>
      </x:c>
      <x:c r="D8" s="17" t="str">
        <x:f>'Данные'!E8</x:f>
        <x:v>actual</x:v>
      </x:c>
      <x:c r="E8" s="28" t="n">
        <x:f>IF(ISNUMBER('Данные'!F8),'Данные'!F8,"н/д")</x:f>
        <x:v>0</x:v>
      </x:c>
      <x:c r="F8" s="28" t="n">
        <x:f>IF(ISNUMBER('Данные'!G8),'Данные'!G8,"н/д")</x:f>
        <x:v>0</x:v>
      </x:c>
      <x:c r="G8" s="29" t="n">
        <x:f>IF(COUNT(E8:F8)=2,E8-F8,"н/д")</x:f>
        <x:v>0</x:v>
      </x:c>
      <x:c r="H8" s="28" t="n">
        <x:f>IF(COUNT(G8,'Данные'!H8:K8)=5,G8-'Данные'!H8-'Данные'!I8+'Данные'!J8-'Данные'!K8,"н/д")</x:f>
        <x:v>-120000</x:v>
      </x:c>
      <x:c r="I8" s="28" t="n">
        <x:f>IF(COUNT('Распределение'!H6:I6)=2,-SUM('Распределение'!H6:I6),"н/д")</x:f>
        <x:v>-120000</x:v>
      </x:c>
      <x:c r="J8" s="29" t="n">
        <x:f>IF(COUNT(H8:I8)=2,H8-I8,"н/д")</x:f>
        <x:v>0</x:v>
      </x:c>
      <x:c r="K8" s="28" t="n">
        <x:f>IF(ISNUMBER('Данные'!L8),'Данные'!L8,"н/д")</x:f>
        <x:v>0</x:v>
      </x:c>
      <x:c r="L8" s="29" t="n">
        <x:f>IF(COUNT(J8:K8)=2,SUM(J8:K8),"н/д")</x:f>
        <x:v>0</x:v>
      </x:c>
      <x:c r="M8" s="28" t="n">
        <x:f>IF(COUNT(J8,'Данные'!M8:N8)=3,J8+'Данные'!M8-'Данные'!N8,"н/д")</x:f>
        <x:v>0</x:v>
      </x:c>
      <x:c r="N8" s="28" t="n">
        <x:f>IF(ISNUMBER('Данные'!O8),'Данные'!O8,"н/д")</x:f>
        <x:v>0</x:v>
      </x:c>
      <x:c r="O8" s="29" t="n">
        <x:f>IF(COUNT(M8:N8)=2,M8-N8,"н/д")</x:f>
        <x:v>0</x:v>
      </x:c>
      <x:c r="P8" s="30" t="str">
        <x:f>IF(COUNT(E8,O8)=2,IF(E8=0,"н/д",O8/E8),"н/д")</x:f>
        <x:v>н/д</x:v>
      </x:c>
      <x:c r="Q8" s="28" t="n">
        <x:f>IF(ISNUMBER('Данные'!H8),'Данные'!H8,"н/д")</x:f>
        <x:v>0</x:v>
      </x:c>
      <x:c r="R8" s="28" t="n">
        <x:f>IF(COUNT('Данные'!I8,I8)=2,'Данные'!I8+I8,"н/д")</x:f>
        <x:v>0</x:v>
      </x:c>
      <x:c r="S8" s="28" t="n">
        <x:f>IF(ISNUMBER('Данные'!J8),'Данные'!J8,"н/д")</x:f>
        <x:v>0</x:v>
      </x:c>
      <x:c r="T8" s="28" t="n">
        <x:f>IF(ISNUMBER('Данные'!K8),'Данные'!K8,"н/д")</x:f>
        <x:v>0</x:v>
      </x:c>
      <x:c r="U8" s="28" t="n">
        <x:f>IF(ISNUMBER('Данные'!M8),'Данные'!M8,"н/д")</x:f>
        <x:v>0</x:v>
      </x:c>
      <x:c r="V8" s="28" t="n">
        <x:f>IF(ISNUMBER('Данные'!N8),'Данные'!N8,"н/д")</x:f>
        <x:v>0</x:v>
      </x:c>
    </x:row>
    <x:row r="9" ht="24" customHeight="1">
      <x:c r="B9" s="16" t="n">
        <x:f>'Данные'!C9</x:f>
        <x:v>46023</x:v>
      </x:c>
      <x:c r="C9" s="17" t="str">
        <x:f>'Данные'!D9</x:f>
        <x:v>ELIM</x:v>
      </x:c>
      <x:c r="D9" s="17" t="str">
        <x:f>'Данные'!E9</x:f>
        <x:v>actual</x:v>
      </x:c>
      <x:c r="E9" s="28" t="n">
        <x:f>IF(ISNUMBER('Данные'!F9),'Данные'!F9,"н/д")</x:f>
        <x:v>0</x:v>
      </x:c>
      <x:c r="F9" s="28" t="n">
        <x:f>IF(ISNUMBER('Данные'!G9),'Данные'!G9,"н/д")</x:f>
        <x:v>0</x:v>
      </x:c>
      <x:c r="G9" s="29" t="n">
        <x:f>IF(COUNT(E9:F9)=2,E9-F9,"н/д")</x:f>
        <x:v>0</x:v>
      </x:c>
      <x:c r="H9" s="28" t="n">
        <x:f>IF(COUNT(G9,'Данные'!H9:K9)=5,G9-'Данные'!H9-'Данные'!I9+'Данные'!J9-'Данные'!K9,"н/д")</x:f>
        <x:v>0</x:v>
      </x:c>
      <x:c r="I9" s="29" t="n">
        <x:f>0</x:f>
        <x:v>0</x:v>
      </x:c>
      <x:c r="J9" s="29" t="n">
        <x:f>IF(COUNT(H9:I9)=2,H9-I9,"н/д")</x:f>
        <x:v>0</x:v>
      </x:c>
      <x:c r="K9" s="28" t="n">
        <x:f>IF(ISNUMBER('Данные'!L9),'Данные'!L9,"н/д")</x:f>
        <x:v>0</x:v>
      </x:c>
      <x:c r="L9" s="29" t="n">
        <x:f>IF(COUNT(J9:K9)=2,SUM(J9:K9),"н/д")</x:f>
        <x:v>0</x:v>
      </x:c>
      <x:c r="M9" s="28" t="n">
        <x:f>IF(COUNT(J9,'Данные'!M9:N9)=3,J9+'Данные'!M9-'Данные'!N9,"н/д")</x:f>
        <x:v>0</x:v>
      </x:c>
      <x:c r="N9" s="28" t="n">
        <x:f>IF(ISNUMBER('Данные'!O9),'Данные'!O9,"н/д")</x:f>
        <x:v>0</x:v>
      </x:c>
      <x:c r="O9" s="29" t="n">
        <x:f>IF(COUNT(M9:N9)=2,M9-N9,"н/д")</x:f>
        <x:v>0</x:v>
      </x:c>
      <x:c r="P9" s="30" t="str">
        <x:f>IF(COUNT(E9,O9)=2,IF(E9=0,"н/д",O9/E9),"н/д")</x:f>
        <x:v>н/д</x:v>
      </x:c>
      <x:c r="Q9" s="28" t="n">
        <x:f>IF(ISNUMBER('Данные'!H9),'Данные'!H9,"н/д")</x:f>
        <x:v>0</x:v>
      </x:c>
      <x:c r="R9" s="28" t="n">
        <x:f>IF(COUNT('Данные'!I9,I9)=2,'Данные'!I9+I9,"н/д")</x:f>
        <x:v>0</x:v>
      </x:c>
      <x:c r="S9" s="28" t="n">
        <x:f>IF(ISNUMBER('Данные'!J9),'Данные'!J9,"н/д")</x:f>
        <x:v>0</x:v>
      </x:c>
      <x:c r="T9" s="28" t="n">
        <x:f>IF(ISNUMBER('Данные'!K9),'Данные'!K9,"н/д")</x:f>
        <x:v>0</x:v>
      </x:c>
      <x:c r="U9" s="28" t="n">
        <x:f>IF(ISNUMBER('Данные'!M9),'Данные'!M9,"н/д")</x:f>
        <x:v>0</x:v>
      </x:c>
      <x:c r="V9" s="28" t="n">
        <x:f>IF(ISNUMBER('Данные'!N9),'Данные'!N9,"н/д")</x:f>
        <x:v>0</x:v>
      </x:c>
    </x:row>
    <x:row r="10" ht="24" customHeight="1">
      <x:c r="B10" s="16" t="n">
        <x:f>'Данные'!C10</x:f>
        <x:v>46023</x:v>
      </x:c>
      <x:c r="C10" s="17" t="str">
        <x:f>'Данные'!D10</x:f>
        <x:v>A</x:v>
      </x:c>
      <x:c r="D10" s="17" t="str">
        <x:f>'Данные'!E10</x:f>
        <x:v>budget</x:v>
      </x:c>
      <x:c r="E10" s="28" t="n">
        <x:f>IF(ISNUMBER('Данные'!F10),'Данные'!F10,"н/д")</x:f>
        <x:v>900000</x:v>
      </x:c>
      <x:c r="F10" s="28" t="n">
        <x:f>IF(ISNUMBER('Данные'!G10),'Данные'!G10,"н/д")</x:f>
        <x:v>500000</x:v>
      </x:c>
      <x:c r="G10" s="29" t="n">
        <x:f>IF(COUNT(E10:F10)=2,E10-F10,"н/д")</x:f>
        <x:v>400000</x:v>
      </x:c>
      <x:c r="H10" s="28" t="n">
        <x:f>IF(COUNT(G10,'Данные'!H10:K10)=5,G10-'Данные'!H10-'Данные'!I10+'Данные'!J10-'Данные'!K10,"н/д")</x:f>
        <x:v>345000</x:v>
      </x:c>
      <x:c r="I10" s="28" t="n">
        <x:f>'Распределение'!H7</x:f>
        <x:v>80000</x:v>
      </x:c>
      <x:c r="J10" s="29" t="n">
        <x:f>IF(COUNT(H10:I10)=2,H10-I10,"н/д")</x:f>
        <x:v>265000</x:v>
      </x:c>
      <x:c r="K10" s="28" t="n">
        <x:f>IF(ISNUMBER('Данные'!L10),'Данные'!L10,"н/д")</x:f>
        <x:v>30000</x:v>
      </x:c>
      <x:c r="L10" s="29" t="n">
        <x:f>IF(COUNT(J10:K10)=2,SUM(J10:K10),"н/д")</x:f>
        <x:v>295000</x:v>
      </x:c>
      <x:c r="M10" s="28" t="n">
        <x:f>IF(COUNT(J10,'Данные'!M10:N10)=3,J10+'Данные'!M10-'Данные'!N10,"н/д")</x:f>
        <x:v>255000</x:v>
      </x:c>
      <x:c r="N10" s="28" t="n">
        <x:f>IF(ISNUMBER('Данные'!O10),'Данные'!O10,"н/д")</x:f>
        <x:v>50000</x:v>
      </x:c>
      <x:c r="O10" s="29" t="n">
        <x:f>IF(COUNT(M10:N10)=2,M10-N10,"н/д")</x:f>
        <x:v>205000</x:v>
      </x:c>
      <x:c r="P10" s="30" t="n">
        <x:f>IF(COUNT(E10,O10)=2,IF(E10=0,"н/д",O10/E10),"н/д")</x:f>
        <x:v>0.22777777777777777</x:v>
      </x:c>
      <x:c r="Q10" s="28" t="n">
        <x:f>IF(ISNUMBER('Данные'!H10),'Данные'!H10,"н/д")</x:f>
        <x:v>40000</x:v>
      </x:c>
      <x:c r="R10" s="28" t="n">
        <x:f>IF(COUNT('Данные'!I10,I10)=2,'Данные'!I10+I10,"н/д")</x:f>
        <x:v>100000</x:v>
      </x:c>
      <x:c r="S10" s="28" t="n">
        <x:f>IF(ISNUMBER('Данные'!J10),'Данные'!J10,"н/д")</x:f>
        <x:v>10000</x:v>
      </x:c>
      <x:c r="T10" s="28" t="n">
        <x:f>IF(ISNUMBER('Данные'!K10),'Данные'!K10,"н/д")</x:f>
        <x:v>5000</x:v>
      </x:c>
      <x:c r="U10" s="28" t="n">
        <x:f>IF(ISNUMBER('Данные'!M10),'Данные'!M10,"н/д")</x:f>
        <x:v>0</x:v>
      </x:c>
      <x:c r="V10" s="28" t="n">
        <x:f>IF(ISNUMBER('Данные'!N10),'Данные'!N10,"н/д")</x:f>
        <x:v>10000</x:v>
      </x:c>
    </x:row>
    <x:row r="11" ht="24" customHeight="1">
      <x:c r="B11" s="16" t="n">
        <x:f>'Данные'!C11</x:f>
        <x:v>46023</x:v>
      </x:c>
      <x:c r="C11" s="17" t="str">
        <x:f>'Данные'!D11</x:f>
        <x:v>B</x:v>
      </x:c>
      <x:c r="D11" s="17" t="str">
        <x:f>'Данные'!E11</x:f>
        <x:v>budget</x:v>
      </x:c>
      <x:c r="E11" s="28" t="n">
        <x:f>IF(ISNUMBER('Данные'!F11),'Данные'!F11,"н/д")</x:f>
        <x:v>600000</x:v>
      </x:c>
      <x:c r="F11" s="28" t="n">
        <x:f>IF(ISNUMBER('Данные'!G11),'Данные'!G11,"н/д")</x:f>
        <x:v>360000</x:v>
      </x:c>
      <x:c r="G11" s="29" t="n">
        <x:f>IF(COUNT(E11:F11)=2,E11-F11,"н/д")</x:f>
        <x:v>240000</x:v>
      </x:c>
      <x:c r="H11" s="28" t="n">
        <x:f>IF(COUNT(G11,'Данные'!H11:K11)=5,G11-'Данные'!H11-'Данные'!I11+'Данные'!J11-'Данные'!K11,"н/д")</x:f>
        <x:v>200000</x:v>
      </x:c>
      <x:c r="I11" s="28" t="n">
        <x:f>'Распределение'!I7</x:f>
        <x:v>40000</x:v>
      </x:c>
      <x:c r="J11" s="29" t="n">
        <x:f>IF(COUNT(H11:I11)=2,H11-I11,"н/д")</x:f>
        <x:v>160000</x:v>
      </x:c>
      <x:c r="K11" s="28" t="n">
        <x:f>IF(ISNUMBER('Данные'!L11),'Данные'!L11,"н/д")</x:f>
        <x:v>20000</x:v>
      </x:c>
      <x:c r="L11" s="29" t="n">
        <x:f>IF(COUNT(J11:K11)=2,SUM(J11:K11),"н/д")</x:f>
        <x:v>180000</x:v>
      </x:c>
      <x:c r="M11" s="28" t="n">
        <x:f>IF(COUNT(J11,'Данные'!M11:N11)=3,J11+'Данные'!M11-'Данные'!N11,"н/д")</x:f>
        <x:v>155000</x:v>
      </x:c>
      <x:c r="N11" s="28" t="n">
        <x:f>IF(ISNUMBER('Данные'!O11),'Данные'!O11,"н/д")</x:f>
        <x:v>25000</x:v>
      </x:c>
      <x:c r="O11" s="29" t="n">
        <x:f>IF(COUNT(M11:N11)=2,M11-N11,"н/д")</x:f>
        <x:v>130000</x:v>
      </x:c>
      <x:c r="P11" s="30" t="n">
        <x:f>IF(COUNT(E11,O11)=2,IF(E11=0,"н/д",O11/E11),"н/д")</x:f>
        <x:v>0.21666666666666667</x:v>
      </x:c>
      <x:c r="Q11" s="28" t="n">
        <x:f>IF(ISNUMBER('Данные'!H11),'Данные'!H11,"н/д")</x:f>
        <x:v>30000</x:v>
      </x:c>
      <x:c r="R11" s="28" t="n">
        <x:f>IF(COUNT('Данные'!I11,I11)=2,'Данные'!I11+I11,"н/д")</x:f>
        <x:v>50000</x:v>
      </x:c>
      <x:c r="S11" s="28" t="n">
        <x:f>IF(ISNUMBER('Данные'!J11),'Данные'!J11,"н/д")</x:f>
        <x:v>0</x:v>
      </x:c>
      <x:c r="T11" s="28" t="n">
        <x:f>IF(ISNUMBER('Данные'!K11),'Данные'!K11,"н/д")</x:f>
        <x:v>0</x:v>
      </x:c>
      <x:c r="U11" s="28" t="n">
        <x:f>IF(ISNUMBER('Данные'!M11),'Данные'!M11,"н/д")</x:f>
        <x:v>0</x:v>
      </x:c>
      <x:c r="V11" s="28" t="n">
        <x:f>IF(ISNUMBER('Данные'!N11),'Данные'!N11,"н/д")</x:f>
        <x:v>5000</x:v>
      </x:c>
    </x:row>
    <x:row r="12" ht="24" customHeight="1">
      <x:c r="B12" s="16" t="n">
        <x:f>'Данные'!C12</x:f>
        <x:v>46023</x:v>
      </x:c>
      <x:c r="C12" s="17" t="str">
        <x:f>'Данные'!D12</x:f>
        <x:v>CENTER</x:v>
      </x:c>
      <x:c r="D12" s="17" t="str">
        <x:f>'Данные'!E12</x:f>
        <x:v>budget</x:v>
      </x:c>
      <x:c r="E12" s="28" t="n">
        <x:f>IF(ISNUMBER('Данные'!F12),'Данные'!F12,"н/д")</x:f>
        <x:v>0</x:v>
      </x:c>
      <x:c r="F12" s="28" t="n">
        <x:f>IF(ISNUMBER('Данные'!G12),'Данные'!G12,"н/д")</x:f>
        <x:v>0</x:v>
      </x:c>
      <x:c r="G12" s="29" t="n">
        <x:f>IF(COUNT(E12:F12)=2,E12-F12,"н/д")</x:f>
        <x:v>0</x:v>
      </x:c>
      <x:c r="H12" s="28" t="n">
        <x:f>IF(COUNT(G12,'Данные'!H12:K12)=5,G12-'Данные'!H12-'Данные'!I12+'Данные'!J12-'Данные'!K12,"н/д")</x:f>
        <x:v>-120000</x:v>
      </x:c>
      <x:c r="I12" s="28" t="n">
        <x:f>IF(COUNT('Распределение'!H7:I7)=2,-SUM('Распределение'!H7:I7),"н/д")</x:f>
        <x:v>-120000</x:v>
      </x:c>
      <x:c r="J12" s="29" t="n">
        <x:f>IF(COUNT(H12:I12)=2,H12-I12,"н/д")</x:f>
        <x:v>0</x:v>
      </x:c>
      <x:c r="K12" s="28" t="n">
        <x:f>IF(ISNUMBER('Данные'!L12),'Данные'!L12,"н/д")</x:f>
        <x:v>0</x:v>
      </x:c>
      <x:c r="L12" s="29" t="n">
        <x:f>IF(COUNT(J12:K12)=2,SUM(J12:K12),"н/д")</x:f>
        <x:v>0</x:v>
      </x:c>
      <x:c r="M12" s="28" t="n">
        <x:f>IF(COUNT(J12,'Данные'!M12:N12)=3,J12+'Данные'!M12-'Данные'!N12,"н/д")</x:f>
        <x:v>0</x:v>
      </x:c>
      <x:c r="N12" s="28" t="n">
        <x:f>IF(ISNUMBER('Данные'!O12),'Данные'!O12,"н/д")</x:f>
        <x:v>0</x:v>
      </x:c>
      <x:c r="O12" s="29" t="n">
        <x:f>IF(COUNT(M12:N12)=2,M12-N12,"н/д")</x:f>
        <x:v>0</x:v>
      </x:c>
      <x:c r="P12" s="30" t="str">
        <x:f>IF(COUNT(E12,O12)=2,IF(E12=0,"н/д",O12/E12),"н/д")</x:f>
        <x:v>н/д</x:v>
      </x:c>
      <x:c r="Q12" s="28" t="n">
        <x:f>IF(ISNUMBER('Данные'!H12),'Данные'!H12,"н/д")</x:f>
        <x:v>0</x:v>
      </x:c>
      <x:c r="R12" s="28" t="n">
        <x:f>IF(COUNT('Данные'!I12,I12)=2,'Данные'!I12+I12,"н/д")</x:f>
        <x:v>0</x:v>
      </x:c>
      <x:c r="S12" s="28" t="n">
        <x:f>IF(ISNUMBER('Данные'!J12),'Данные'!J12,"н/д")</x:f>
        <x:v>0</x:v>
      </x:c>
      <x:c r="T12" s="28" t="n">
        <x:f>IF(ISNUMBER('Данные'!K12),'Данные'!K12,"н/д")</x:f>
        <x:v>0</x:v>
      </x:c>
      <x:c r="U12" s="28" t="n">
        <x:f>IF(ISNUMBER('Данные'!M12),'Данные'!M12,"н/д")</x:f>
        <x:v>0</x:v>
      </x:c>
      <x:c r="V12" s="28" t="n">
        <x:f>IF(ISNUMBER('Данные'!N12),'Данные'!N12,"н/д")</x:f>
        <x:v>0</x:v>
      </x:c>
    </x:row>
    <x:row r="13" ht="24" customHeight="1">
      <x:c r="B13" s="16" t="n">
        <x:f>'Данные'!C13</x:f>
        <x:v>46023</x:v>
      </x:c>
      <x:c r="C13" s="17" t="str">
        <x:f>'Данные'!D13</x:f>
        <x:v>ELIM</x:v>
      </x:c>
      <x:c r="D13" s="17" t="str">
        <x:f>'Данные'!E13</x:f>
        <x:v>budget</x:v>
      </x:c>
      <x:c r="E13" s="28" t="n">
        <x:f>IF(ISNUMBER('Данные'!F13),'Данные'!F13,"н/д")</x:f>
        <x:v>0</x:v>
      </x:c>
      <x:c r="F13" s="28" t="n">
        <x:f>IF(ISNUMBER('Данные'!G13),'Данные'!G13,"н/д")</x:f>
        <x:v>0</x:v>
      </x:c>
      <x:c r="G13" s="29" t="n">
        <x:f>IF(COUNT(E13:F13)=2,E13-F13,"н/д")</x:f>
        <x:v>0</x:v>
      </x:c>
      <x:c r="H13" s="28" t="n">
        <x:f>IF(COUNT(G13,'Данные'!H13:K13)=5,G13-'Данные'!H13-'Данные'!I13+'Данные'!J13-'Данные'!K13,"н/д")</x:f>
        <x:v>0</x:v>
      </x:c>
      <x:c r="I13" s="29" t="n">
        <x:f>0</x:f>
        <x:v>0</x:v>
      </x:c>
      <x:c r="J13" s="29" t="n">
        <x:f>IF(COUNT(H13:I13)=2,H13-I13,"н/д")</x:f>
        <x:v>0</x:v>
      </x:c>
      <x:c r="K13" s="28" t="n">
        <x:f>IF(ISNUMBER('Данные'!L13),'Данные'!L13,"н/д")</x:f>
        <x:v>0</x:v>
      </x:c>
      <x:c r="L13" s="29" t="n">
        <x:f>IF(COUNT(J13:K13)=2,SUM(J13:K13),"н/д")</x:f>
        <x:v>0</x:v>
      </x:c>
      <x:c r="M13" s="28" t="n">
        <x:f>IF(COUNT(J13,'Данные'!M13:N13)=3,J13+'Данные'!M13-'Данные'!N13,"н/д")</x:f>
        <x:v>0</x:v>
      </x:c>
      <x:c r="N13" s="28" t="n">
        <x:f>IF(ISNUMBER('Данные'!O13),'Данные'!O13,"н/д")</x:f>
        <x:v>0</x:v>
      </x:c>
      <x:c r="O13" s="29" t="n">
        <x:f>IF(COUNT(M13:N13)=2,M13-N13,"н/д")</x:f>
        <x:v>0</x:v>
      </x:c>
      <x:c r="P13" s="30" t="str">
        <x:f>IF(COUNT(E13,O13)=2,IF(E13=0,"н/д",O13/E13),"н/д")</x:f>
        <x:v>н/д</x:v>
      </x:c>
      <x:c r="Q13" s="28" t="n">
        <x:f>IF(ISNUMBER('Данные'!H13),'Данные'!H13,"н/д")</x:f>
        <x:v>0</x:v>
      </x:c>
      <x:c r="R13" s="28" t="n">
        <x:f>IF(COUNT('Данные'!I13,I13)=2,'Данные'!I13+I13,"н/д")</x:f>
        <x:v>0</x:v>
      </x:c>
      <x:c r="S13" s="28" t="n">
        <x:f>IF(ISNUMBER('Данные'!J13),'Данные'!J13,"н/д")</x:f>
        <x:v>0</x:v>
      </x:c>
      <x:c r="T13" s="28" t="n">
        <x:f>IF(ISNUMBER('Данные'!K13),'Данные'!K13,"н/д")</x:f>
        <x:v>0</x:v>
      </x:c>
      <x:c r="U13" s="28" t="n">
        <x:f>IF(ISNUMBER('Данные'!M13),'Данные'!M13,"н/д")</x:f>
        <x:v>0</x:v>
      </x:c>
      <x:c r="V13" s="28" t="n">
        <x:f>IF(ISNUMBER('Данные'!N13),'Данные'!N13,"н/д")</x:f>
        <x:v>0</x:v>
      </x:c>
    </x:row>
    <x:row r="14" ht="24" customHeight="1">
      <x:c r="B14" s="16" t="n">
        <x:f>'Данные'!C14</x:f>
        <x:v>46054</x:v>
      </x:c>
      <x:c r="C14" s="17" t="str">
        <x:f>'Данные'!D14</x:f>
        <x:v>A</x:v>
      </x:c>
      <x:c r="D14" s="17" t="str">
        <x:f>'Данные'!E14</x:f>
        <x:v>actual</x:v>
      </x:c>
      <x:c r="E14" s="28" t="n">
        <x:f>IF(ISNUMBER('Данные'!F14),'Данные'!F14,"н/д")</x:f>
        <x:v>1000000</x:v>
      </x:c>
      <x:c r="F14" s="28" t="n">
        <x:f>IF(ISNUMBER('Данные'!G14),'Данные'!G14,"н/д")</x:f>
        <x:v>620000</x:v>
      </x:c>
      <x:c r="G14" s="29" t="n">
        <x:f>IF(COUNT(E14:F14)=2,E14-F14,"н/д")</x:f>
        <x:v>380000</x:v>
      </x:c>
      <x:c r="H14" s="28" t="n">
        <x:f>IF(COUNT(G14,'Данные'!H14:K14)=5,G14-'Данные'!H14-'Данные'!I14+'Данные'!J14-'Данные'!K14,"н/д")</x:f>
        <x:v>300000</x:v>
      </x:c>
      <x:c r="I14" s="28" t="n">
        <x:f>'Распределение'!H8</x:f>
        <x:v>60000</x:v>
      </x:c>
      <x:c r="J14" s="29" t="n">
        <x:f>IF(COUNT(H14:I14)=2,H14-I14,"н/д")</x:f>
        <x:v>240000</x:v>
      </x:c>
      <x:c r="K14" s="28" t="n">
        <x:f>IF(ISNUMBER('Данные'!L14),'Данные'!L14,"н/д")</x:f>
        <x:v>30000</x:v>
      </x:c>
      <x:c r="L14" s="29" t="n">
        <x:f>IF(COUNT(J14:K14)=2,SUM(J14:K14),"н/д")</x:f>
        <x:v>270000</x:v>
      </x:c>
      <x:c r="M14" s="28" t="n">
        <x:f>IF(COUNT(J14,'Данные'!M14:N14)=3,J14+'Данные'!M14-'Данные'!N14,"н/д")</x:f>
        <x:v>230000</x:v>
      </x:c>
      <x:c r="N14" s="28" t="n">
        <x:f>IF(ISNUMBER('Данные'!O14),'Данные'!O14,"н/д")</x:f>
        <x:v>40000</x:v>
      </x:c>
      <x:c r="O14" s="29" t="n">
        <x:f>IF(COUNT(M14:N14)=2,M14-N14,"н/д")</x:f>
        <x:v>190000</x:v>
      </x:c>
      <x:c r="P14" s="30" t="n">
        <x:f>IF(COUNT(E14,O14)=2,IF(E14=0,"н/д",O14/E14),"н/д")</x:f>
        <x:v>0.19</x:v>
      </x:c>
      <x:c r="Q14" s="28" t="n">
        <x:f>IF(ISNUMBER('Данные'!H14),'Данные'!H14,"н/д")</x:f>
        <x:v>50000</x:v>
      </x:c>
      <x:c r="R14" s="28" t="n">
        <x:f>IF(COUNT('Данные'!I14,I14)=2,'Данные'!I14+I14,"н/д")</x:f>
        <x:v>80000</x:v>
      </x:c>
      <x:c r="S14" s="28" t="n">
        <x:f>IF(ISNUMBER('Данные'!J14),'Данные'!J14,"н/д")</x:f>
        <x:v>0</x:v>
      </x:c>
      <x:c r="T14" s="28" t="n">
        <x:f>IF(ISNUMBER('Данные'!K14),'Данные'!K14,"н/д")</x:f>
        <x:v>10000</x:v>
      </x:c>
      <x:c r="U14" s="28" t="n">
        <x:f>IF(ISNUMBER('Данные'!M14),'Данные'!M14,"н/д")</x:f>
        <x:v>0</x:v>
      </x:c>
      <x:c r="V14" s="28" t="n">
        <x:f>IF(ISNUMBER('Данные'!N14),'Данные'!N14,"н/д")</x:f>
        <x:v>10000</x:v>
      </x:c>
    </x:row>
    <x:row r="15" ht="24" customHeight="1">
      <x:c r="B15" s="16" t="n">
        <x:f>'Данные'!C15</x:f>
        <x:v>46054</x:v>
      </x:c>
      <x:c r="C15" s="17" t="str">
        <x:f>'Данные'!D15</x:f>
        <x:v>B</x:v>
      </x:c>
      <x:c r="D15" s="17" t="str">
        <x:f>'Данные'!E15</x:f>
        <x:v>actual</x:v>
      </x:c>
      <x:c r="E15" s="28" t="n">
        <x:f>IF(ISNUMBER('Данные'!F15),'Данные'!F15,"н/д")</x:f>
        <x:v>700000</x:v>
      </x:c>
      <x:c r="F15" s="28" t="n">
        <x:f>IF(ISNUMBER('Данные'!G15),'Данные'!G15,"н/д")</x:f>
        <x:v>400000</x:v>
      </x:c>
      <x:c r="G15" s="29" t="n">
        <x:f>IF(COUNT(E15:F15)=2,E15-F15,"н/д")</x:f>
        <x:v>300000</x:v>
      </x:c>
      <x:c r="H15" s="28" t="n">
        <x:f>IF(COUNT(G15,'Данные'!H15:K15)=5,G15-'Данные'!H15-'Данные'!I15+'Данные'!J15-'Данные'!K15,"н/д")</x:f>
        <x:v>250000</x:v>
      </x:c>
      <x:c r="I15" s="28" t="n">
        <x:f>'Распределение'!I8</x:f>
        <x:v>60000</x:v>
      </x:c>
      <x:c r="J15" s="29" t="n">
        <x:f>IF(COUNT(H15:I15)=2,H15-I15,"н/д")</x:f>
        <x:v>190000</x:v>
      </x:c>
      <x:c r="K15" s="28" t="n">
        <x:f>IF(ISNUMBER('Данные'!L15),'Данные'!L15,"н/д")</x:f>
        <x:v>25000</x:v>
      </x:c>
      <x:c r="L15" s="29" t="n">
        <x:f>IF(COUNT(J15:K15)=2,SUM(J15:K15),"н/д")</x:f>
        <x:v>215000</x:v>
      </x:c>
      <x:c r="M15" s="28" t="n">
        <x:f>IF(COUNT(J15,'Данные'!M15:N15)=3,J15+'Данные'!M15-'Данные'!N15,"н/д")</x:f>
        <x:v>185000</x:v>
      </x:c>
      <x:c r="N15" s="28" t="n">
        <x:f>IF(ISNUMBER('Данные'!O15),'Данные'!O15,"н/д")</x:f>
        <x:v>35000</x:v>
      </x:c>
      <x:c r="O15" s="29" t="n">
        <x:f>IF(COUNT(M15:N15)=2,M15-N15,"н/д")</x:f>
        <x:v>150000</x:v>
      </x:c>
      <x:c r="P15" s="30" t="n">
        <x:f>IF(COUNT(E15,O15)=2,IF(E15=0,"н/д",O15/E15),"н/д")</x:f>
        <x:v>0.21428571428571427</x:v>
      </x:c>
      <x:c r="Q15" s="28" t="n">
        <x:f>IF(ISNUMBER('Данные'!H15),'Данные'!H15,"н/д")</x:f>
        <x:v>35000</x:v>
      </x:c>
      <x:c r="R15" s="28" t="n">
        <x:f>IF(COUNT('Данные'!I15,I15)=2,'Данные'!I15+I15,"н/д")</x:f>
        <x:v>75000</x:v>
      </x:c>
      <x:c r="S15" s="28" t="n">
        <x:f>IF(ISNUMBER('Данные'!J15),'Данные'!J15,"н/д")</x:f>
        <x:v>0</x:v>
      </x:c>
      <x:c r="T15" s="28" t="n">
        <x:f>IF(ISNUMBER('Данные'!K15),'Данные'!K15,"н/д")</x:f>
        <x:v>0</x:v>
      </x:c>
      <x:c r="U15" s="28" t="n">
        <x:f>IF(ISNUMBER('Данные'!M15),'Данные'!M15,"н/д")</x:f>
        <x:v>0</x:v>
      </x:c>
      <x:c r="V15" s="28" t="n">
        <x:f>IF(ISNUMBER('Данные'!N15),'Данные'!N15,"н/д")</x:f>
        <x:v>5000</x:v>
      </x:c>
    </x:row>
    <x:row r="16" ht="24" customHeight="1">
      <x:c r="B16" s="16" t="n">
        <x:f>'Данные'!C16</x:f>
        <x:v>46054</x:v>
      </x:c>
      <x:c r="C16" s="17" t="str">
        <x:f>'Данные'!D16</x:f>
        <x:v>CENTER</x:v>
      </x:c>
      <x:c r="D16" s="17" t="str">
        <x:f>'Данные'!E16</x:f>
        <x:v>actual</x:v>
      </x:c>
      <x:c r="E16" s="28" t="n">
        <x:f>IF(ISNUMBER('Данные'!F16),'Данные'!F16,"н/д")</x:f>
        <x:v>0</x:v>
      </x:c>
      <x:c r="F16" s="28" t="n">
        <x:f>IF(ISNUMBER('Данные'!G16),'Данные'!G16,"н/д")</x:f>
        <x:v>0</x:v>
      </x:c>
      <x:c r="G16" s="29" t="n">
        <x:f>IF(COUNT(E16:F16)=2,E16-F16,"н/д")</x:f>
        <x:v>0</x:v>
      </x:c>
      <x:c r="H16" s="28" t="n">
        <x:f>IF(COUNT(G16,'Данные'!H16:K16)=5,G16-'Данные'!H16-'Данные'!I16+'Данные'!J16-'Данные'!K16,"н/д")</x:f>
        <x:v>-120000</x:v>
      </x:c>
      <x:c r="I16" s="28" t="n">
        <x:f>IF(COUNT('Распределение'!H8:I8)=2,-SUM('Распределение'!H8:I8),"н/д")</x:f>
        <x:v>-120000</x:v>
      </x:c>
      <x:c r="J16" s="29" t="n">
        <x:f>IF(COUNT(H16:I16)=2,H16-I16,"н/д")</x:f>
        <x:v>0</x:v>
      </x:c>
      <x:c r="K16" s="28" t="n">
        <x:f>IF(ISNUMBER('Данные'!L16),'Данные'!L16,"н/д")</x:f>
        <x:v>0</x:v>
      </x:c>
      <x:c r="L16" s="29" t="n">
        <x:f>IF(COUNT(J16:K16)=2,SUM(J16:K16),"н/д")</x:f>
        <x:v>0</x:v>
      </x:c>
      <x:c r="M16" s="28" t="n">
        <x:f>IF(COUNT(J16,'Данные'!M16:N16)=3,J16+'Данные'!M16-'Данные'!N16,"н/д")</x:f>
        <x:v>0</x:v>
      </x:c>
      <x:c r="N16" s="28" t="n">
        <x:f>IF(ISNUMBER('Данные'!O16),'Данные'!O16,"н/д")</x:f>
        <x:v>0</x:v>
      </x:c>
      <x:c r="O16" s="29" t="n">
        <x:f>IF(COUNT(M16:N16)=2,M16-N16,"н/д")</x:f>
        <x:v>0</x:v>
      </x:c>
      <x:c r="P16" s="30" t="str">
        <x:f>IF(COUNT(E16,O16)=2,IF(E16=0,"н/д",O16/E16),"н/д")</x:f>
        <x:v>н/д</x:v>
      </x:c>
      <x:c r="Q16" s="28" t="n">
        <x:f>IF(ISNUMBER('Данные'!H16),'Данные'!H16,"н/д")</x:f>
        <x:v>0</x:v>
      </x:c>
      <x:c r="R16" s="28" t="n">
        <x:f>IF(COUNT('Данные'!I16,I16)=2,'Данные'!I16+I16,"н/д")</x:f>
        <x:v>0</x:v>
      </x:c>
      <x:c r="S16" s="28" t="n">
        <x:f>IF(ISNUMBER('Данные'!J16),'Данные'!J16,"н/д")</x:f>
        <x:v>0</x:v>
      </x:c>
      <x:c r="T16" s="28" t="n">
        <x:f>IF(ISNUMBER('Данные'!K16),'Данные'!K16,"н/д")</x:f>
        <x:v>0</x:v>
      </x:c>
      <x:c r="U16" s="28" t="n">
        <x:f>IF(ISNUMBER('Данные'!M16),'Данные'!M16,"н/д")</x:f>
        <x:v>0</x:v>
      </x:c>
      <x:c r="V16" s="28" t="n">
        <x:f>IF(ISNUMBER('Данные'!N16),'Данные'!N16,"н/д")</x:f>
        <x:v>0</x:v>
      </x:c>
    </x:row>
    <x:row r="17" ht="24" customHeight="1">
      <x:c r="B17" s="16" t="n">
        <x:f>'Данные'!C17</x:f>
        <x:v>46054</x:v>
      </x:c>
      <x:c r="C17" s="17" t="str">
        <x:f>'Данные'!D17</x:f>
        <x:v>ELIM</x:v>
      </x:c>
      <x:c r="D17" s="17" t="str">
        <x:f>'Данные'!E17</x:f>
        <x:v>actual</x:v>
      </x:c>
      <x:c r="E17" s="28" t="n">
        <x:f>IF(ISNUMBER('Данные'!F17),'Данные'!F17,"н/д")</x:f>
        <x:v>0</x:v>
      </x:c>
      <x:c r="F17" s="28" t="n">
        <x:f>IF(ISNUMBER('Данные'!G17),'Данные'!G17,"н/д")</x:f>
        <x:v>0</x:v>
      </x:c>
      <x:c r="G17" s="29" t="n">
        <x:f>IF(COUNT(E17:F17)=2,E17-F17,"н/д")</x:f>
        <x:v>0</x:v>
      </x:c>
      <x:c r="H17" s="28" t="n">
        <x:f>IF(COUNT(G17,'Данные'!H17:K17)=5,G17-'Данные'!H17-'Данные'!I17+'Данные'!J17-'Данные'!K17,"н/д")</x:f>
        <x:v>0</x:v>
      </x:c>
      <x:c r="I17" s="29" t="n">
        <x:f>0</x:f>
        <x:v>0</x:v>
      </x:c>
      <x:c r="J17" s="29" t="n">
        <x:f>IF(COUNT(H17:I17)=2,H17-I17,"н/д")</x:f>
        <x:v>0</x:v>
      </x:c>
      <x:c r="K17" s="28" t="n">
        <x:f>IF(ISNUMBER('Данные'!L17),'Данные'!L17,"н/д")</x:f>
        <x:v>0</x:v>
      </x:c>
      <x:c r="L17" s="29" t="n">
        <x:f>IF(COUNT(J17:K17)=2,SUM(J17:K17),"н/д")</x:f>
        <x:v>0</x:v>
      </x:c>
      <x:c r="M17" s="28" t="n">
        <x:f>IF(COUNT(J17,'Данные'!M17:N17)=3,J17+'Данные'!M17-'Данные'!N17,"н/д")</x:f>
        <x:v>0</x:v>
      </x:c>
      <x:c r="N17" s="28" t="n">
        <x:f>IF(ISNUMBER('Данные'!O17),'Данные'!O17,"н/д")</x:f>
        <x:v>0</x:v>
      </x:c>
      <x:c r="O17" s="29" t="n">
        <x:f>IF(COUNT(M17:N17)=2,M17-N17,"н/д")</x:f>
        <x:v>0</x:v>
      </x:c>
      <x:c r="P17" s="30" t="str">
        <x:f>IF(COUNT(E17,O17)=2,IF(E17=0,"н/д",O17/E17),"н/д")</x:f>
        <x:v>н/д</x:v>
      </x:c>
      <x:c r="Q17" s="28" t="n">
        <x:f>IF(ISNUMBER('Данные'!H17),'Данные'!H17,"н/д")</x:f>
        <x:v>0</x:v>
      </x:c>
      <x:c r="R17" s="28" t="n">
        <x:f>IF(COUNT('Данные'!I17,I17)=2,'Данные'!I17+I17,"н/д")</x:f>
        <x:v>0</x:v>
      </x:c>
      <x:c r="S17" s="28" t="n">
        <x:f>IF(ISNUMBER('Данные'!J17),'Данные'!J17,"н/д")</x:f>
        <x:v>0</x:v>
      </x:c>
      <x:c r="T17" s="28" t="n">
        <x:f>IF(ISNUMBER('Данные'!K17),'Данные'!K17,"н/д")</x:f>
        <x:v>0</x:v>
      </x:c>
      <x:c r="U17" s="28" t="n">
        <x:f>IF(ISNUMBER('Данные'!M17),'Данные'!M17,"н/д")</x:f>
        <x:v>0</x:v>
      </x:c>
      <x:c r="V17" s="28" t="n">
        <x:f>IF(ISNUMBER('Данные'!N17),'Данные'!N17,"н/д")</x:f>
        <x:v>0</x:v>
      </x:c>
    </x:row>
    <x:row r="18" ht="24" customHeight="1">
      <x:c r="B18" s="16" t="n">
        <x:f>'Данные'!C18</x:f>
        <x:v>46054</x:v>
      </x:c>
      <x:c r="C18" s="17" t="str">
        <x:f>'Данные'!D18</x:f>
        <x:v>A</x:v>
      </x:c>
      <x:c r="D18" s="17" t="str">
        <x:f>'Данные'!E18</x:f>
        <x:v>budget</x:v>
      </x:c>
      <x:c r="E18" s="28" t="n">
        <x:f>IF(ISNUMBER('Данные'!F18),'Данные'!F18,"н/д")</x:f>
        <x:v>900000</x:v>
      </x:c>
      <x:c r="F18" s="28" t="n">
        <x:f>IF(ISNUMBER('Данные'!G18),'Данные'!G18,"н/д")</x:f>
        <x:v>500000</x:v>
      </x:c>
      <x:c r="G18" s="29" t="n">
        <x:f>IF(COUNT(E18:F18)=2,E18-F18,"н/д")</x:f>
        <x:v>400000</x:v>
      </x:c>
      <x:c r="H18" s="28" t="n">
        <x:f>IF(COUNT(G18,'Данные'!H18:K18)=5,G18-'Данные'!H18-'Данные'!I18+'Данные'!J18-'Данные'!K18,"н/д")</x:f>
        <x:v>345000</x:v>
      </x:c>
      <x:c r="I18" s="28" t="n">
        <x:f>'Распределение'!H9</x:f>
        <x:v>80000</x:v>
      </x:c>
      <x:c r="J18" s="29" t="n">
        <x:f>IF(COUNT(H18:I18)=2,H18-I18,"н/д")</x:f>
        <x:v>265000</x:v>
      </x:c>
      <x:c r="K18" s="28" t="n">
        <x:f>IF(ISNUMBER('Данные'!L18),'Данные'!L18,"н/д")</x:f>
        <x:v>30000</x:v>
      </x:c>
      <x:c r="L18" s="29" t="n">
        <x:f>IF(COUNT(J18:K18)=2,SUM(J18:K18),"н/д")</x:f>
        <x:v>295000</x:v>
      </x:c>
      <x:c r="M18" s="28" t="n">
        <x:f>IF(COUNT(J18,'Данные'!M18:N18)=3,J18+'Данные'!M18-'Данные'!N18,"н/д")</x:f>
        <x:v>255000</x:v>
      </x:c>
      <x:c r="N18" s="28" t="n">
        <x:f>IF(ISNUMBER('Данные'!O18),'Данные'!O18,"н/д")</x:f>
        <x:v>50000</x:v>
      </x:c>
      <x:c r="O18" s="29" t="n">
        <x:f>IF(COUNT(M18:N18)=2,M18-N18,"н/д")</x:f>
        <x:v>205000</x:v>
      </x:c>
      <x:c r="P18" s="30" t="n">
        <x:f>IF(COUNT(E18,O18)=2,IF(E18=0,"н/д",O18/E18),"н/д")</x:f>
        <x:v>0.22777777777777777</x:v>
      </x:c>
      <x:c r="Q18" s="28" t="n">
        <x:f>IF(ISNUMBER('Данные'!H18),'Данные'!H18,"н/д")</x:f>
        <x:v>40000</x:v>
      </x:c>
      <x:c r="R18" s="28" t="n">
        <x:f>IF(COUNT('Данные'!I18,I18)=2,'Данные'!I18+I18,"н/д")</x:f>
        <x:v>100000</x:v>
      </x:c>
      <x:c r="S18" s="28" t="n">
        <x:f>IF(ISNUMBER('Данные'!J18),'Данные'!J18,"н/д")</x:f>
        <x:v>10000</x:v>
      </x:c>
      <x:c r="T18" s="28" t="n">
        <x:f>IF(ISNUMBER('Данные'!K18),'Данные'!K18,"н/д")</x:f>
        <x:v>5000</x:v>
      </x:c>
      <x:c r="U18" s="28" t="n">
        <x:f>IF(ISNUMBER('Данные'!M18),'Данные'!M18,"н/д")</x:f>
        <x:v>0</x:v>
      </x:c>
      <x:c r="V18" s="28" t="n">
        <x:f>IF(ISNUMBER('Данные'!N18),'Данные'!N18,"н/д")</x:f>
        <x:v>10000</x:v>
      </x:c>
    </x:row>
    <x:row r="19" ht="24" customHeight="1">
      <x:c r="B19" s="16" t="n">
        <x:f>'Данные'!C19</x:f>
        <x:v>46054</x:v>
      </x:c>
      <x:c r="C19" s="17" t="str">
        <x:f>'Данные'!D19</x:f>
        <x:v>B</x:v>
      </x:c>
      <x:c r="D19" s="17" t="str">
        <x:f>'Данные'!E19</x:f>
        <x:v>budget</x:v>
      </x:c>
      <x:c r="E19" s="28" t="n">
        <x:f>IF(ISNUMBER('Данные'!F19),'Данные'!F19,"н/д")</x:f>
        <x:v>600000</x:v>
      </x:c>
      <x:c r="F19" s="28" t="n">
        <x:f>IF(ISNUMBER('Данные'!G19),'Данные'!G19,"н/д")</x:f>
        <x:v>360000</x:v>
      </x:c>
      <x:c r="G19" s="29" t="n">
        <x:f>IF(COUNT(E19:F19)=2,E19-F19,"н/д")</x:f>
        <x:v>240000</x:v>
      </x:c>
      <x:c r="H19" s="28" t="n">
        <x:f>IF(COUNT(G19,'Данные'!H19:K19)=5,G19-'Данные'!H19-'Данные'!I19+'Данные'!J19-'Данные'!K19,"н/д")</x:f>
        <x:v>200000</x:v>
      </x:c>
      <x:c r="I19" s="28" t="n">
        <x:f>'Распределение'!I9</x:f>
        <x:v>40000</x:v>
      </x:c>
      <x:c r="J19" s="29" t="n">
        <x:f>IF(COUNT(H19:I19)=2,H19-I19,"н/д")</x:f>
        <x:v>160000</x:v>
      </x:c>
      <x:c r="K19" s="28" t="n">
        <x:f>IF(ISNUMBER('Данные'!L19),'Данные'!L19,"н/д")</x:f>
        <x:v>20000</x:v>
      </x:c>
      <x:c r="L19" s="29" t="n">
        <x:f>IF(COUNT(J19:K19)=2,SUM(J19:K19),"н/д")</x:f>
        <x:v>180000</x:v>
      </x:c>
      <x:c r="M19" s="28" t="n">
        <x:f>IF(COUNT(J19,'Данные'!M19:N19)=3,J19+'Данные'!M19-'Данные'!N19,"н/д")</x:f>
        <x:v>155000</x:v>
      </x:c>
      <x:c r="N19" s="28" t="n">
        <x:f>IF(ISNUMBER('Данные'!O19),'Данные'!O19,"н/д")</x:f>
        <x:v>25000</x:v>
      </x:c>
      <x:c r="O19" s="29" t="n">
        <x:f>IF(COUNT(M19:N19)=2,M19-N19,"н/д")</x:f>
        <x:v>130000</x:v>
      </x:c>
      <x:c r="P19" s="30" t="n">
        <x:f>IF(COUNT(E19,O19)=2,IF(E19=0,"н/д",O19/E19),"н/д")</x:f>
        <x:v>0.21666666666666667</x:v>
      </x:c>
      <x:c r="Q19" s="28" t="n">
        <x:f>IF(ISNUMBER('Данные'!H19),'Данные'!H19,"н/д")</x:f>
        <x:v>30000</x:v>
      </x:c>
      <x:c r="R19" s="28" t="n">
        <x:f>IF(COUNT('Данные'!I19,I19)=2,'Данные'!I19+I19,"н/д")</x:f>
        <x:v>50000</x:v>
      </x:c>
      <x:c r="S19" s="28" t="n">
        <x:f>IF(ISNUMBER('Данные'!J19),'Данные'!J19,"н/д")</x:f>
        <x:v>0</x:v>
      </x:c>
      <x:c r="T19" s="28" t="n">
        <x:f>IF(ISNUMBER('Данные'!K19),'Данные'!K19,"н/д")</x:f>
        <x:v>0</x:v>
      </x:c>
      <x:c r="U19" s="28" t="n">
        <x:f>IF(ISNUMBER('Данные'!M19),'Данные'!M19,"н/д")</x:f>
        <x:v>0</x:v>
      </x:c>
      <x:c r="V19" s="28" t="n">
        <x:f>IF(ISNUMBER('Данные'!N19),'Данные'!N19,"н/д")</x:f>
        <x:v>5000</x:v>
      </x:c>
    </x:row>
    <x:row r="20" ht="24" customHeight="1">
      <x:c r="B20" s="16" t="n">
        <x:f>'Данные'!C20</x:f>
        <x:v>46054</x:v>
      </x:c>
      <x:c r="C20" s="17" t="str">
        <x:f>'Данные'!D20</x:f>
        <x:v>CENTER</x:v>
      </x:c>
      <x:c r="D20" s="17" t="str">
        <x:f>'Данные'!E20</x:f>
        <x:v>budget</x:v>
      </x:c>
      <x:c r="E20" s="28" t="n">
        <x:f>IF(ISNUMBER('Данные'!F20),'Данные'!F20,"н/д")</x:f>
        <x:v>0</x:v>
      </x:c>
      <x:c r="F20" s="28" t="n">
        <x:f>IF(ISNUMBER('Данные'!G20),'Данные'!G20,"н/д")</x:f>
        <x:v>0</x:v>
      </x:c>
      <x:c r="G20" s="29" t="n">
        <x:f>IF(COUNT(E20:F20)=2,E20-F20,"н/д")</x:f>
        <x:v>0</x:v>
      </x:c>
      <x:c r="H20" s="28" t="n">
        <x:f>IF(COUNT(G20,'Данные'!H20:K20)=5,G20-'Данные'!H20-'Данные'!I20+'Данные'!J20-'Данные'!K20,"н/д")</x:f>
        <x:v>-120000</x:v>
      </x:c>
      <x:c r="I20" s="28" t="n">
        <x:f>IF(COUNT('Распределение'!H9:I9)=2,-SUM('Распределение'!H9:I9),"н/д")</x:f>
        <x:v>-120000</x:v>
      </x:c>
      <x:c r="J20" s="29" t="n">
        <x:f>IF(COUNT(H20:I20)=2,H20-I20,"н/д")</x:f>
        <x:v>0</x:v>
      </x:c>
      <x:c r="K20" s="28" t="n">
        <x:f>IF(ISNUMBER('Данные'!L20),'Данные'!L20,"н/д")</x:f>
        <x:v>0</x:v>
      </x:c>
      <x:c r="L20" s="29" t="n">
        <x:f>IF(COUNT(J20:K20)=2,SUM(J20:K20),"н/д")</x:f>
        <x:v>0</x:v>
      </x:c>
      <x:c r="M20" s="28" t="n">
        <x:f>IF(COUNT(J20,'Данные'!M20:N20)=3,J20+'Данные'!M20-'Данные'!N20,"н/д")</x:f>
        <x:v>0</x:v>
      </x:c>
      <x:c r="N20" s="28" t="n">
        <x:f>IF(ISNUMBER('Данные'!O20),'Данные'!O20,"н/д")</x:f>
        <x:v>0</x:v>
      </x:c>
      <x:c r="O20" s="29" t="n">
        <x:f>IF(COUNT(M20:N20)=2,M20-N20,"н/д")</x:f>
        <x:v>0</x:v>
      </x:c>
      <x:c r="P20" s="30" t="str">
        <x:f>IF(COUNT(E20,O20)=2,IF(E20=0,"н/д",O20/E20),"н/д")</x:f>
        <x:v>н/д</x:v>
      </x:c>
      <x:c r="Q20" s="28" t="n">
        <x:f>IF(ISNUMBER('Данные'!H20),'Данные'!H20,"н/д")</x:f>
        <x:v>0</x:v>
      </x:c>
      <x:c r="R20" s="28" t="n">
        <x:f>IF(COUNT('Данные'!I20,I20)=2,'Данные'!I20+I20,"н/д")</x:f>
        <x:v>0</x:v>
      </x:c>
      <x:c r="S20" s="28" t="n">
        <x:f>IF(ISNUMBER('Данные'!J20),'Данные'!J20,"н/д")</x:f>
        <x:v>0</x:v>
      </x:c>
      <x:c r="T20" s="28" t="n">
        <x:f>IF(ISNUMBER('Данные'!K20),'Данные'!K20,"н/д")</x:f>
        <x:v>0</x:v>
      </x:c>
      <x:c r="U20" s="28" t="n">
        <x:f>IF(ISNUMBER('Данные'!M20),'Данные'!M20,"н/д")</x:f>
        <x:v>0</x:v>
      </x:c>
      <x:c r="V20" s="28" t="n">
        <x:f>IF(ISNUMBER('Данные'!N20),'Данные'!N20,"н/д")</x:f>
        <x:v>0</x:v>
      </x:c>
    </x:row>
    <x:row r="21" ht="24" customHeight="1">
      <x:c r="B21" s="16" t="n">
        <x:f>'Данные'!C21</x:f>
        <x:v>46054</x:v>
      </x:c>
      <x:c r="C21" s="17" t="str">
        <x:f>'Данные'!D21</x:f>
        <x:v>ELIM</x:v>
      </x:c>
      <x:c r="D21" s="17" t="str">
        <x:f>'Данные'!E21</x:f>
        <x:v>budget</x:v>
      </x:c>
      <x:c r="E21" s="28" t="n">
        <x:f>IF(ISNUMBER('Данные'!F21),'Данные'!F21,"н/д")</x:f>
        <x:v>0</x:v>
      </x:c>
      <x:c r="F21" s="28" t="n">
        <x:f>IF(ISNUMBER('Данные'!G21),'Данные'!G21,"н/д")</x:f>
        <x:v>0</x:v>
      </x:c>
      <x:c r="G21" s="29" t="n">
        <x:f>IF(COUNT(E21:F21)=2,E21-F21,"н/д")</x:f>
        <x:v>0</x:v>
      </x:c>
      <x:c r="H21" s="28" t="n">
        <x:f>IF(COUNT(G21,'Данные'!H21:K21)=5,G21-'Данные'!H21-'Данные'!I21+'Данные'!J21-'Данные'!K21,"н/д")</x:f>
        <x:v>0</x:v>
      </x:c>
      <x:c r="I21" s="29" t="n">
        <x:f>0</x:f>
        <x:v>0</x:v>
      </x:c>
      <x:c r="J21" s="29" t="n">
        <x:f>IF(COUNT(H21:I21)=2,H21-I21,"н/д")</x:f>
        <x:v>0</x:v>
      </x:c>
      <x:c r="K21" s="28" t="n">
        <x:f>IF(ISNUMBER('Данные'!L21),'Данные'!L21,"н/д")</x:f>
        <x:v>0</x:v>
      </x:c>
      <x:c r="L21" s="29" t="n">
        <x:f>IF(COUNT(J21:K21)=2,SUM(J21:K21),"н/д")</x:f>
        <x:v>0</x:v>
      </x:c>
      <x:c r="M21" s="28" t="n">
        <x:f>IF(COUNT(J21,'Данные'!M21:N21)=3,J21+'Данные'!M21-'Данные'!N21,"н/д")</x:f>
        <x:v>0</x:v>
      </x:c>
      <x:c r="N21" s="28" t="n">
        <x:f>IF(ISNUMBER('Данные'!O21),'Данные'!O21,"н/д")</x:f>
        <x:v>0</x:v>
      </x:c>
      <x:c r="O21" s="29" t="n">
        <x:f>IF(COUNT(M21:N21)=2,M21-N21,"н/д")</x:f>
        <x:v>0</x:v>
      </x:c>
      <x:c r="P21" s="30" t="str">
        <x:f>IF(COUNT(E21,O21)=2,IF(E21=0,"н/д",O21/E21),"н/д")</x:f>
        <x:v>н/д</x:v>
      </x:c>
      <x:c r="Q21" s="28" t="n">
        <x:f>IF(ISNUMBER('Данные'!H21),'Данные'!H21,"н/д")</x:f>
        <x:v>0</x:v>
      </x:c>
      <x:c r="R21" s="28" t="n">
        <x:f>IF(COUNT('Данные'!I21,I21)=2,'Данные'!I21+I21,"н/д")</x:f>
        <x:v>0</x:v>
      </x:c>
      <x:c r="S21" s="28" t="n">
        <x:f>IF(ISNUMBER('Данные'!J21),'Данные'!J21,"н/д")</x:f>
        <x:v>0</x:v>
      </x:c>
      <x:c r="T21" s="28" t="n">
        <x:f>IF(ISNUMBER('Данные'!K21),'Данные'!K21,"н/д")</x:f>
        <x:v>0</x:v>
      </x:c>
      <x:c r="U21" s="28" t="n">
        <x:f>IF(ISNUMBER('Данные'!M21),'Данные'!M21,"н/д")</x:f>
        <x:v>0</x:v>
      </x:c>
      <x:c r="V21" s="28" t="n">
        <x:f>IF(ISNUMBER('Данные'!N21),'Данные'!N21,"н/д")</x:f>
        <x:v>0</x:v>
      </x:c>
    </x:row>
    <x:row r="22" ht="24" customHeight="1">
      <x:c r="B22" s="16" t="n">
        <x:f>'Данные'!C22</x:f>
        <x:v>46082</x:v>
      </x:c>
      <x:c r="C22" s="17" t="str">
        <x:f>'Данные'!D22</x:f>
        <x:v>A</x:v>
      </x:c>
      <x:c r="D22" s="17" t="str">
        <x:f>'Данные'!E22</x:f>
        <x:v>actual</x:v>
      </x:c>
      <x:c r="E22" s="28" t="n">
        <x:f>IF(ISNUMBER('Данные'!F22),'Данные'!F22,"н/д")</x:f>
        <x:v>1100000</x:v>
      </x:c>
      <x:c r="F22" s="28" t="n">
        <x:f>IF(ISNUMBER('Данные'!G22),'Данные'!G22,"н/д")</x:f>
        <x:v>650000</x:v>
      </x:c>
      <x:c r="G22" s="29" t="n">
        <x:f>IF(COUNT(E22:F22)=2,E22-F22,"н/д")</x:f>
        <x:v>450000</x:v>
      </x:c>
      <x:c r="H22" s="28" t="n">
        <x:f>IF(COUNT(G22,'Данные'!H22:K22)=5,G22-'Данные'!H22-'Данные'!I22+'Данные'!J22-'Данные'!K22,"н/д")</x:f>
        <x:v>360000</x:v>
      </x:c>
      <x:c r="I22" s="28" t="n">
        <x:f>'Распределение'!H10</x:f>
        <x:v>90000</x:v>
      </x:c>
      <x:c r="J22" s="29" t="n">
        <x:f>IF(COUNT(H22:I22)=2,H22-I22,"н/д")</x:f>
        <x:v>270000</x:v>
      </x:c>
      <x:c r="K22" s="28" t="n">
        <x:f>IF(ISNUMBER('Данные'!L22),'Данные'!L22,"н/д")</x:f>
        <x:v>35000</x:v>
      </x:c>
      <x:c r="L22" s="29" t="n">
        <x:f>IF(COUNT(J22:K22)=2,SUM(J22:K22),"н/д")</x:f>
        <x:v>305000</x:v>
      </x:c>
      <x:c r="M22" s="28" t="n">
        <x:f>IF(COUNT(J22,'Данные'!M22:N22)=3,J22+'Данные'!M22-'Данные'!N22,"н/д")</x:f>
        <x:v>260000</x:v>
      </x:c>
      <x:c r="N22" s="28" t="n">
        <x:f>IF(ISNUMBER('Данные'!O22),'Данные'!O22,"н/д")</x:f>
        <x:v>50000</x:v>
      </x:c>
      <x:c r="O22" s="29" t="n">
        <x:f>IF(COUNT(M22:N22)=2,M22-N22,"н/д")</x:f>
        <x:v>210000</x:v>
      </x:c>
      <x:c r="P22" s="30" t="n">
        <x:f>IF(COUNT(E22,O22)=2,IF(E22=0,"н/д",O22/E22),"н/д")</x:f>
        <x:v>0.19090909090909092</x:v>
      </x:c>
      <x:c r="Q22" s="28" t="n">
        <x:f>IF(ISNUMBER('Данные'!H22),'Данные'!H22,"н/д")</x:f>
        <x:v>50000</x:v>
      </x:c>
      <x:c r="R22" s="28" t="n">
        <x:f>IF(COUNT('Данные'!I22,I22)=2,'Данные'!I22+I22,"н/д")</x:f>
        <x:v>120000</x:v>
      </x:c>
      <x:c r="S22" s="28" t="n">
        <x:f>IF(ISNUMBER('Данные'!J22),'Данные'!J22,"н/д")</x:f>
        <x:v>0</x:v>
      </x:c>
      <x:c r="T22" s="28" t="n">
        <x:f>IF(ISNUMBER('Данные'!K22),'Данные'!K22,"н/д")</x:f>
        <x:v>10000</x:v>
      </x:c>
      <x:c r="U22" s="28" t="n">
        <x:f>IF(ISNUMBER('Данные'!M22),'Данные'!M22,"н/д")</x:f>
        <x:v>0</x:v>
      </x:c>
      <x:c r="V22" s="28" t="n">
        <x:f>IF(ISNUMBER('Данные'!N22),'Данные'!N22,"н/д")</x:f>
        <x:v>10000</x:v>
      </x:c>
    </x:row>
    <x:row r="23" ht="24" customHeight="1">
      <x:c r="B23" s="16" t="n">
        <x:f>'Данные'!C23</x:f>
        <x:v>46082</x:v>
      </x:c>
      <x:c r="C23" s="17" t="str">
        <x:f>'Данные'!D23</x:f>
        <x:v>B</x:v>
      </x:c>
      <x:c r="D23" s="17" t="str">
        <x:f>'Данные'!E23</x:f>
        <x:v>actual</x:v>
      </x:c>
      <x:c r="E23" s="28" t="n">
        <x:f>IF(ISNUMBER('Данные'!F23),'Данные'!F23,"н/д")</x:f>
        <x:v>800000</x:v>
      </x:c>
      <x:c r="F23" s="28" t="n">
        <x:f>IF(ISNUMBER('Данные'!G23),'Данные'!G23,"н/д")</x:f>
        <x:v>460000</x:v>
      </x:c>
      <x:c r="G23" s="29" t="n">
        <x:f>IF(COUNT(E23:F23)=2,E23-F23,"н/д")</x:f>
        <x:v>340000</x:v>
      </x:c>
      <x:c r="H23" s="28" t="n">
        <x:f>IF(COUNT(G23,'Данные'!H23:K23)=5,G23-'Данные'!H23-'Данные'!I23+'Данные'!J23-'Данные'!K23,"н/д")</x:f>
        <x:v>280000</x:v>
      </x:c>
      <x:c r="I23" s="28" t="n">
        <x:f>'Распределение'!I10</x:f>
        <x:v>60000</x:v>
      </x:c>
      <x:c r="J23" s="29" t="n">
        <x:f>IF(COUNT(H23:I23)=2,H23-I23,"н/д")</x:f>
        <x:v>220000</x:v>
      </x:c>
      <x:c r="K23" s="28" t="n">
        <x:f>IF(ISNUMBER('Данные'!L23),'Данные'!L23,"н/д")</x:f>
        <x:v>25000</x:v>
      </x:c>
      <x:c r="L23" s="29" t="n">
        <x:f>IF(COUNT(J23:K23)=2,SUM(J23:K23),"н/д")</x:f>
        <x:v>245000</x:v>
      </x:c>
      <x:c r="M23" s="28" t="n">
        <x:f>IF(COUNT(J23,'Данные'!M23:N23)=3,J23+'Данные'!M23-'Данные'!N23,"н/д")</x:f>
        <x:v>215000</x:v>
      </x:c>
      <x:c r="N23" s="28" t="n">
        <x:f>IF(ISNUMBER('Данные'!O23),'Данные'!O23,"н/д")</x:f>
        <x:v>40000</x:v>
      </x:c>
      <x:c r="O23" s="29" t="n">
        <x:f>IF(COUNT(M23:N23)=2,M23-N23,"н/д")</x:f>
        <x:v>175000</x:v>
      </x:c>
      <x:c r="P23" s="30" t="n">
        <x:f>IF(COUNT(E23,O23)=2,IF(E23=0,"н/д",O23/E23),"н/д")</x:f>
        <x:v>0.21875</x:v>
      </x:c>
      <x:c r="Q23" s="28" t="n">
        <x:f>IF(ISNUMBER('Данные'!H23),'Данные'!H23,"н/д")</x:f>
        <x:v>40000</x:v>
      </x:c>
      <x:c r="R23" s="28" t="n">
        <x:f>IF(COUNT('Данные'!I23,I23)=2,'Данные'!I23+I23,"н/д")</x:f>
        <x:v>80000</x:v>
      </x:c>
      <x:c r="S23" s="28" t="n">
        <x:f>IF(ISNUMBER('Данные'!J23),'Данные'!J23,"н/д")</x:f>
        <x:v>0</x:v>
      </x:c>
      <x:c r="T23" s="28" t="n">
        <x:f>IF(ISNUMBER('Данные'!K23),'Данные'!K23,"н/д")</x:f>
        <x:v>0</x:v>
      </x:c>
      <x:c r="U23" s="28" t="n">
        <x:f>IF(ISNUMBER('Данные'!M23),'Данные'!M23,"н/д")</x:f>
        <x:v>0</x:v>
      </x:c>
      <x:c r="V23" s="28" t="n">
        <x:f>IF(ISNUMBER('Данные'!N23),'Данные'!N23,"н/д")</x:f>
        <x:v>5000</x:v>
      </x:c>
    </x:row>
    <x:row r="24" ht="24" customHeight="1">
      <x:c r="B24" s="16" t="n">
        <x:f>'Данные'!C24</x:f>
        <x:v>46082</x:v>
      </x:c>
      <x:c r="C24" s="17" t="str">
        <x:f>'Данные'!D24</x:f>
        <x:v>CENTER</x:v>
      </x:c>
      <x:c r="D24" s="17" t="str">
        <x:f>'Данные'!E24</x:f>
        <x:v>actual</x:v>
      </x:c>
      <x:c r="E24" s="28" t="n">
        <x:f>IF(ISNUMBER('Данные'!F24),'Данные'!F24,"н/д")</x:f>
        <x:v>0</x:v>
      </x:c>
      <x:c r="F24" s="28" t="n">
        <x:f>IF(ISNUMBER('Данные'!G24),'Данные'!G24,"н/д")</x:f>
        <x:v>0</x:v>
      </x:c>
      <x:c r="G24" s="29" t="n">
        <x:f>IF(COUNT(E24:F24)=2,E24-F24,"н/д")</x:f>
        <x:v>0</x:v>
      </x:c>
      <x:c r="H24" s="28" t="n">
        <x:f>IF(COUNT(G24,'Данные'!H24:K24)=5,G24-'Данные'!H24-'Данные'!I24+'Данные'!J24-'Данные'!K24,"н/д")</x:f>
        <x:v>-150000</x:v>
      </x:c>
      <x:c r="I24" s="28" t="n">
        <x:f>IF(COUNT('Распределение'!H10:I10)=2,-SUM('Распределение'!H10:I10),"н/д")</x:f>
        <x:v>-150000</x:v>
      </x:c>
      <x:c r="J24" s="29" t="n">
        <x:f>IF(COUNT(H24:I24)=2,H24-I24,"н/д")</x:f>
        <x:v>0</x:v>
      </x:c>
      <x:c r="K24" s="28" t="n">
        <x:f>IF(ISNUMBER('Данные'!L24),'Данные'!L24,"н/д")</x:f>
        <x:v>0</x:v>
      </x:c>
      <x:c r="L24" s="29" t="n">
        <x:f>IF(COUNT(J24:K24)=2,SUM(J24:K24),"н/д")</x:f>
        <x:v>0</x:v>
      </x:c>
      <x:c r="M24" s="28" t="n">
        <x:f>IF(COUNT(J24,'Данные'!M24:N24)=3,J24+'Данные'!M24-'Данные'!N24,"н/д")</x:f>
        <x:v>0</x:v>
      </x:c>
      <x:c r="N24" s="28" t="n">
        <x:f>IF(ISNUMBER('Данные'!O24),'Данные'!O24,"н/д")</x:f>
        <x:v>0</x:v>
      </x:c>
      <x:c r="O24" s="29" t="n">
        <x:f>IF(COUNT(M24:N24)=2,M24-N24,"н/д")</x:f>
        <x:v>0</x:v>
      </x:c>
      <x:c r="P24" s="30" t="str">
        <x:f>IF(COUNT(E24,O24)=2,IF(E24=0,"н/д",O24/E24),"н/д")</x:f>
        <x:v>н/д</x:v>
      </x:c>
      <x:c r="Q24" s="28" t="n">
        <x:f>IF(ISNUMBER('Данные'!H24),'Данные'!H24,"н/д")</x:f>
        <x:v>0</x:v>
      </x:c>
      <x:c r="R24" s="28" t="n">
        <x:f>IF(COUNT('Данные'!I24,I24)=2,'Данные'!I24+I24,"н/д")</x:f>
        <x:v>0</x:v>
      </x:c>
      <x:c r="S24" s="28" t="n">
        <x:f>IF(ISNUMBER('Данные'!J24),'Данные'!J24,"н/д")</x:f>
        <x:v>0</x:v>
      </x:c>
      <x:c r="T24" s="28" t="n">
        <x:f>IF(ISNUMBER('Данные'!K24),'Данные'!K24,"н/д")</x:f>
        <x:v>0</x:v>
      </x:c>
      <x:c r="U24" s="28" t="n">
        <x:f>IF(ISNUMBER('Данные'!M24),'Данные'!M24,"н/д")</x:f>
        <x:v>0</x:v>
      </x:c>
      <x:c r="V24" s="28" t="n">
        <x:f>IF(ISNUMBER('Данные'!N24),'Данные'!N24,"н/д")</x:f>
        <x:v>0</x:v>
      </x:c>
    </x:row>
    <x:row r="25" ht="24" customHeight="1">
      <x:c r="B25" s="16" t="n">
        <x:f>'Данные'!C25</x:f>
        <x:v>46082</x:v>
      </x:c>
      <x:c r="C25" s="17" t="str">
        <x:f>'Данные'!D25</x:f>
        <x:v>ELIM</x:v>
      </x:c>
      <x:c r="D25" s="17" t="str">
        <x:f>'Данные'!E25</x:f>
        <x:v>actual</x:v>
      </x:c>
      <x:c r="E25" s="28" t="n">
        <x:f>IF(ISNUMBER('Данные'!F25),'Данные'!F25,"н/д")</x:f>
        <x:v>0</x:v>
      </x:c>
      <x:c r="F25" s="28" t="n">
        <x:f>IF(ISNUMBER('Данные'!G25),'Данные'!G25,"н/д")</x:f>
        <x:v>0</x:v>
      </x:c>
      <x:c r="G25" s="29" t="n">
        <x:f>IF(COUNT(E25:F25)=2,E25-F25,"н/д")</x:f>
        <x:v>0</x:v>
      </x:c>
      <x:c r="H25" s="28" t="n">
        <x:f>IF(COUNT(G25,'Данные'!H25:K25)=5,G25-'Данные'!H25-'Данные'!I25+'Данные'!J25-'Данные'!K25,"н/д")</x:f>
        <x:v>0</x:v>
      </x:c>
      <x:c r="I25" s="29" t="n">
        <x:f>0</x:f>
        <x:v>0</x:v>
      </x:c>
      <x:c r="J25" s="29" t="n">
        <x:f>IF(COUNT(H25:I25)=2,H25-I25,"н/д")</x:f>
        <x:v>0</x:v>
      </x:c>
      <x:c r="K25" s="28" t="n">
        <x:f>IF(ISNUMBER('Данные'!L25),'Данные'!L25,"н/д")</x:f>
        <x:v>0</x:v>
      </x:c>
      <x:c r="L25" s="29" t="n">
        <x:f>IF(COUNT(J25:K25)=2,SUM(J25:K25),"н/д")</x:f>
        <x:v>0</x:v>
      </x:c>
      <x:c r="M25" s="28" t="n">
        <x:f>IF(COUNT(J25,'Данные'!M25:N25)=3,J25+'Данные'!M25-'Данные'!N25,"н/д")</x:f>
        <x:v>0</x:v>
      </x:c>
      <x:c r="N25" s="28" t="n">
        <x:f>IF(ISNUMBER('Данные'!O25),'Данные'!O25,"н/д")</x:f>
        <x:v>0</x:v>
      </x:c>
      <x:c r="O25" s="29" t="n">
        <x:f>IF(COUNT(M25:N25)=2,M25-N25,"н/д")</x:f>
        <x:v>0</x:v>
      </x:c>
      <x:c r="P25" s="30" t="str">
        <x:f>IF(COUNT(E25,O25)=2,IF(E25=0,"н/д",O25/E25),"н/д")</x:f>
        <x:v>н/д</x:v>
      </x:c>
      <x:c r="Q25" s="28" t="n">
        <x:f>IF(ISNUMBER('Данные'!H25),'Данные'!H25,"н/д")</x:f>
        <x:v>0</x:v>
      </x:c>
      <x:c r="R25" s="28" t="n">
        <x:f>IF(COUNT('Данные'!I25,I25)=2,'Данные'!I25+I25,"н/д")</x:f>
        <x:v>0</x:v>
      </x:c>
      <x:c r="S25" s="28" t="n">
        <x:f>IF(ISNUMBER('Данные'!J25),'Данные'!J25,"н/д")</x:f>
        <x:v>0</x:v>
      </x:c>
      <x:c r="T25" s="28" t="n">
        <x:f>IF(ISNUMBER('Данные'!K25),'Данные'!K25,"н/д")</x:f>
        <x:v>0</x:v>
      </x:c>
      <x:c r="U25" s="28" t="n">
        <x:f>IF(ISNUMBER('Данные'!M25),'Данные'!M25,"н/д")</x:f>
        <x:v>0</x:v>
      </x:c>
      <x:c r="V25" s="28" t="n">
        <x:f>IF(ISNUMBER('Данные'!N25),'Данные'!N25,"н/д")</x:f>
        <x:v>0</x:v>
      </x:c>
    </x:row>
    <x:row r="26" ht="24" customHeight="1">
      <x:c r="B26" s="16" t="n">
        <x:f>'Данные'!C26</x:f>
        <x:v>46082</x:v>
      </x:c>
      <x:c r="C26" s="17" t="str">
        <x:f>'Данные'!D26</x:f>
        <x:v>A</x:v>
      </x:c>
      <x:c r="D26" s="17" t="str">
        <x:f>'Данные'!E26</x:f>
        <x:v>budget</x:v>
      </x:c>
      <x:c r="E26" s="28" t="n">
        <x:f>IF(ISNUMBER('Данные'!F26),'Данные'!F26,"н/д")</x:f>
        <x:v>900000</x:v>
      </x:c>
      <x:c r="F26" s="28" t="n">
        <x:f>IF(ISNUMBER('Данные'!G26),'Данные'!G26,"н/д")</x:f>
        <x:v>500000</x:v>
      </x:c>
      <x:c r="G26" s="29" t="n">
        <x:f>IF(COUNT(E26:F26)=2,E26-F26,"н/д")</x:f>
        <x:v>400000</x:v>
      </x:c>
      <x:c r="H26" s="28" t="n">
        <x:f>IF(COUNT(G26,'Данные'!H26:K26)=5,G26-'Данные'!H26-'Данные'!I26+'Данные'!J26-'Данные'!K26,"н/д")</x:f>
        <x:v>345000</x:v>
      </x:c>
      <x:c r="I26" s="28" t="n">
        <x:f>'Распределение'!H11</x:f>
        <x:v>80000</x:v>
      </x:c>
      <x:c r="J26" s="29" t="n">
        <x:f>IF(COUNT(H26:I26)=2,H26-I26,"н/д")</x:f>
        <x:v>265000</x:v>
      </x:c>
      <x:c r="K26" s="28" t="n">
        <x:f>IF(ISNUMBER('Данные'!L26),'Данные'!L26,"н/д")</x:f>
        <x:v>30000</x:v>
      </x:c>
      <x:c r="L26" s="29" t="n">
        <x:f>IF(COUNT(J26:K26)=2,SUM(J26:K26),"н/д")</x:f>
        <x:v>295000</x:v>
      </x:c>
      <x:c r="M26" s="28" t="n">
        <x:f>IF(COUNT(J26,'Данные'!M26:N26)=3,J26+'Данные'!M26-'Данные'!N26,"н/д")</x:f>
        <x:v>255000</x:v>
      </x:c>
      <x:c r="N26" s="28" t="n">
        <x:f>IF(ISNUMBER('Данные'!O26),'Данные'!O26,"н/д")</x:f>
        <x:v>50000</x:v>
      </x:c>
      <x:c r="O26" s="29" t="n">
        <x:f>IF(COUNT(M26:N26)=2,M26-N26,"н/д")</x:f>
        <x:v>205000</x:v>
      </x:c>
      <x:c r="P26" s="30" t="n">
        <x:f>IF(COUNT(E26,O26)=2,IF(E26=0,"н/д",O26/E26),"н/д")</x:f>
        <x:v>0.22777777777777777</x:v>
      </x:c>
      <x:c r="Q26" s="28" t="n">
        <x:f>IF(ISNUMBER('Данные'!H26),'Данные'!H26,"н/д")</x:f>
        <x:v>40000</x:v>
      </x:c>
      <x:c r="R26" s="28" t="n">
        <x:f>IF(COUNT('Данные'!I26,I26)=2,'Данные'!I26+I26,"н/д")</x:f>
        <x:v>100000</x:v>
      </x:c>
      <x:c r="S26" s="28" t="n">
        <x:f>IF(ISNUMBER('Данные'!J26),'Данные'!J26,"н/д")</x:f>
        <x:v>10000</x:v>
      </x:c>
      <x:c r="T26" s="28" t="n">
        <x:f>IF(ISNUMBER('Данные'!K26),'Данные'!K26,"н/д")</x:f>
        <x:v>5000</x:v>
      </x:c>
      <x:c r="U26" s="28" t="n">
        <x:f>IF(ISNUMBER('Данные'!M26),'Данные'!M26,"н/д")</x:f>
        <x:v>0</x:v>
      </x:c>
      <x:c r="V26" s="28" t="n">
        <x:f>IF(ISNUMBER('Данные'!N26),'Данные'!N26,"н/д")</x:f>
        <x:v>10000</x:v>
      </x:c>
    </x:row>
    <x:row r="27" ht="24" customHeight="1">
      <x:c r="B27" s="16" t="n">
        <x:f>'Данные'!C27</x:f>
        <x:v>46082</x:v>
      </x:c>
      <x:c r="C27" s="17" t="str">
        <x:f>'Данные'!D27</x:f>
        <x:v>B</x:v>
      </x:c>
      <x:c r="D27" s="17" t="str">
        <x:f>'Данные'!E27</x:f>
        <x:v>budget</x:v>
      </x:c>
      <x:c r="E27" s="28" t="n">
        <x:f>IF(ISNUMBER('Данные'!F27),'Данные'!F27,"н/д")</x:f>
        <x:v>600000</x:v>
      </x:c>
      <x:c r="F27" s="28" t="n">
        <x:f>IF(ISNUMBER('Данные'!G27),'Данные'!G27,"н/д")</x:f>
        <x:v>360000</x:v>
      </x:c>
      <x:c r="G27" s="29" t="n">
        <x:f>IF(COUNT(E27:F27)=2,E27-F27,"н/д")</x:f>
        <x:v>240000</x:v>
      </x:c>
      <x:c r="H27" s="28" t="n">
        <x:f>IF(COUNT(G27,'Данные'!H27:K27)=5,G27-'Данные'!H27-'Данные'!I27+'Данные'!J27-'Данные'!K27,"н/д")</x:f>
        <x:v>200000</x:v>
      </x:c>
      <x:c r="I27" s="28" t="n">
        <x:f>'Распределение'!I11</x:f>
        <x:v>40000</x:v>
      </x:c>
      <x:c r="J27" s="29" t="n">
        <x:f>IF(COUNT(H27:I27)=2,H27-I27,"н/д")</x:f>
        <x:v>160000</x:v>
      </x:c>
      <x:c r="K27" s="28" t="n">
        <x:f>IF(ISNUMBER('Данные'!L27),'Данные'!L27,"н/д")</x:f>
        <x:v>20000</x:v>
      </x:c>
      <x:c r="L27" s="29" t="n">
        <x:f>IF(COUNT(J27:K27)=2,SUM(J27:K27),"н/д")</x:f>
        <x:v>180000</x:v>
      </x:c>
      <x:c r="M27" s="28" t="n">
        <x:f>IF(COUNT(J27,'Данные'!M27:N27)=3,J27+'Данные'!M27-'Данные'!N27,"н/д")</x:f>
        <x:v>155000</x:v>
      </x:c>
      <x:c r="N27" s="28" t="n">
        <x:f>IF(ISNUMBER('Данные'!O27),'Данные'!O27,"н/д")</x:f>
        <x:v>25000</x:v>
      </x:c>
      <x:c r="O27" s="29" t="n">
        <x:f>IF(COUNT(M27:N27)=2,M27-N27,"н/д")</x:f>
        <x:v>130000</x:v>
      </x:c>
      <x:c r="P27" s="30" t="n">
        <x:f>IF(COUNT(E27,O27)=2,IF(E27=0,"н/д",O27/E27),"н/д")</x:f>
        <x:v>0.21666666666666667</x:v>
      </x:c>
      <x:c r="Q27" s="28" t="n">
        <x:f>IF(ISNUMBER('Данные'!H27),'Данные'!H27,"н/д")</x:f>
        <x:v>30000</x:v>
      </x:c>
      <x:c r="R27" s="28" t="n">
        <x:f>IF(COUNT('Данные'!I27,I27)=2,'Данные'!I27+I27,"н/д")</x:f>
        <x:v>50000</x:v>
      </x:c>
      <x:c r="S27" s="28" t="n">
        <x:f>IF(ISNUMBER('Данные'!J27),'Данные'!J27,"н/д")</x:f>
        <x:v>0</x:v>
      </x:c>
      <x:c r="T27" s="28" t="n">
        <x:f>IF(ISNUMBER('Данные'!K27),'Данные'!K27,"н/д")</x:f>
        <x:v>0</x:v>
      </x:c>
      <x:c r="U27" s="28" t="n">
        <x:f>IF(ISNUMBER('Данные'!M27),'Данные'!M27,"н/д")</x:f>
        <x:v>0</x:v>
      </x:c>
      <x:c r="V27" s="28" t="n">
        <x:f>IF(ISNUMBER('Данные'!N27),'Данные'!N27,"н/д")</x:f>
        <x:v>5000</x:v>
      </x:c>
    </x:row>
    <x:row r="28" ht="24" customHeight="1">
      <x:c r="B28" s="16" t="n">
        <x:f>'Данные'!C28</x:f>
        <x:v>46082</x:v>
      </x:c>
      <x:c r="C28" s="17" t="str">
        <x:f>'Данные'!D28</x:f>
        <x:v>CENTER</x:v>
      </x:c>
      <x:c r="D28" s="17" t="str">
        <x:f>'Данные'!E28</x:f>
        <x:v>budget</x:v>
      </x:c>
      <x:c r="E28" s="28" t="n">
        <x:f>IF(ISNUMBER('Данные'!F28),'Данные'!F28,"н/д")</x:f>
        <x:v>0</x:v>
      </x:c>
      <x:c r="F28" s="28" t="n">
        <x:f>IF(ISNUMBER('Данные'!G28),'Данные'!G28,"н/д")</x:f>
        <x:v>0</x:v>
      </x:c>
      <x:c r="G28" s="29" t="n">
        <x:f>IF(COUNT(E28:F28)=2,E28-F28,"н/д")</x:f>
        <x:v>0</x:v>
      </x:c>
      <x:c r="H28" s="28" t="n">
        <x:f>IF(COUNT(G28,'Данные'!H28:K28)=5,G28-'Данные'!H28-'Данные'!I28+'Данные'!J28-'Данные'!K28,"н/д")</x:f>
        <x:v>-120000</x:v>
      </x:c>
      <x:c r="I28" s="28" t="n">
        <x:f>IF(COUNT('Распределение'!H11:I11)=2,-SUM('Распределение'!H11:I11),"н/д")</x:f>
        <x:v>-120000</x:v>
      </x:c>
      <x:c r="J28" s="29" t="n">
        <x:f>IF(COUNT(H28:I28)=2,H28-I28,"н/д")</x:f>
        <x:v>0</x:v>
      </x:c>
      <x:c r="K28" s="28" t="n">
        <x:f>IF(ISNUMBER('Данные'!L28),'Данные'!L28,"н/д")</x:f>
        <x:v>0</x:v>
      </x:c>
      <x:c r="L28" s="29" t="n">
        <x:f>IF(COUNT(J28:K28)=2,SUM(J28:K28),"н/д")</x:f>
        <x:v>0</x:v>
      </x:c>
      <x:c r="M28" s="28" t="n">
        <x:f>IF(COUNT(J28,'Данные'!M28:N28)=3,J28+'Данные'!M28-'Данные'!N28,"н/д")</x:f>
        <x:v>0</x:v>
      </x:c>
      <x:c r="N28" s="28" t="n">
        <x:f>IF(ISNUMBER('Данные'!O28),'Данные'!O28,"н/д")</x:f>
        <x:v>0</x:v>
      </x:c>
      <x:c r="O28" s="29" t="n">
        <x:f>IF(COUNT(M28:N28)=2,M28-N28,"н/д")</x:f>
        <x:v>0</x:v>
      </x:c>
      <x:c r="P28" s="30" t="str">
        <x:f>IF(COUNT(E28,O28)=2,IF(E28=0,"н/д",O28/E28),"н/д")</x:f>
        <x:v>н/д</x:v>
      </x:c>
      <x:c r="Q28" s="28" t="n">
        <x:f>IF(ISNUMBER('Данные'!H28),'Данные'!H28,"н/д")</x:f>
        <x:v>0</x:v>
      </x:c>
      <x:c r="R28" s="28" t="n">
        <x:f>IF(COUNT('Данные'!I28,I28)=2,'Данные'!I28+I28,"н/д")</x:f>
        <x:v>0</x:v>
      </x:c>
      <x:c r="S28" s="28" t="n">
        <x:f>IF(ISNUMBER('Данные'!J28),'Данные'!J28,"н/д")</x:f>
        <x:v>0</x:v>
      </x:c>
      <x:c r="T28" s="28" t="n">
        <x:f>IF(ISNUMBER('Данные'!K28),'Данные'!K28,"н/д")</x:f>
        <x:v>0</x:v>
      </x:c>
      <x:c r="U28" s="28" t="n">
        <x:f>IF(ISNUMBER('Данные'!M28),'Данные'!M28,"н/д")</x:f>
        <x:v>0</x:v>
      </x:c>
      <x:c r="V28" s="28" t="n">
        <x:f>IF(ISNUMBER('Данные'!N28),'Данные'!N28,"н/д")</x:f>
        <x:v>0</x:v>
      </x:c>
    </x:row>
    <x:row r="29" ht="24" customHeight="1">
      <x:c r="B29" s="16" t="n">
        <x:f>'Данные'!C29</x:f>
        <x:v>46082</x:v>
      </x:c>
      <x:c r="C29" s="17" t="str">
        <x:f>'Данные'!D29</x:f>
        <x:v>ELIM</x:v>
      </x:c>
      <x:c r="D29" s="17" t="str">
        <x:f>'Данные'!E29</x:f>
        <x:v>budget</x:v>
      </x:c>
      <x:c r="E29" s="28" t="n">
        <x:f>IF(ISNUMBER('Данные'!F29),'Данные'!F29,"н/д")</x:f>
        <x:v>0</x:v>
      </x:c>
      <x:c r="F29" s="28" t="n">
        <x:f>IF(ISNUMBER('Данные'!G29),'Данные'!G29,"н/д")</x:f>
        <x:v>0</x:v>
      </x:c>
      <x:c r="G29" s="29" t="n">
        <x:f>IF(COUNT(E29:F29)=2,E29-F29,"н/д")</x:f>
        <x:v>0</x:v>
      </x:c>
      <x:c r="H29" s="28" t="n">
        <x:f>IF(COUNT(G29,'Данные'!H29:K29)=5,G29-'Данные'!H29-'Данные'!I29+'Данные'!J29-'Данные'!K29,"н/д")</x:f>
        <x:v>0</x:v>
      </x:c>
      <x:c r="I29" s="29" t="n">
        <x:f>0</x:f>
        <x:v>0</x:v>
      </x:c>
      <x:c r="J29" s="29" t="n">
        <x:f>IF(COUNT(H29:I29)=2,H29-I29,"н/д")</x:f>
        <x:v>0</x:v>
      </x:c>
      <x:c r="K29" s="28" t="n">
        <x:f>IF(ISNUMBER('Данные'!L29),'Данные'!L29,"н/д")</x:f>
        <x:v>0</x:v>
      </x:c>
      <x:c r="L29" s="29" t="n">
        <x:f>IF(COUNT(J29:K29)=2,SUM(J29:K29),"н/д")</x:f>
        <x:v>0</x:v>
      </x:c>
      <x:c r="M29" s="28" t="n">
        <x:f>IF(COUNT(J29,'Данные'!M29:N29)=3,J29+'Данные'!M29-'Данные'!N29,"н/д")</x:f>
        <x:v>0</x:v>
      </x:c>
      <x:c r="N29" s="28" t="n">
        <x:f>IF(ISNUMBER('Данные'!O29),'Данные'!O29,"н/д")</x:f>
        <x:v>0</x:v>
      </x:c>
      <x:c r="O29" s="29" t="n">
        <x:f>IF(COUNT(M29:N29)=2,M29-N29,"н/д")</x:f>
        <x:v>0</x:v>
      </x:c>
      <x:c r="P29" s="30" t="str">
        <x:f>IF(COUNT(E29,O29)=2,IF(E29=0,"н/д",O29/E29),"н/д")</x:f>
        <x:v>н/д</x:v>
      </x:c>
      <x:c r="Q29" s="28" t="n">
        <x:f>IF(ISNUMBER('Данные'!H29),'Данные'!H29,"н/д")</x:f>
        <x:v>0</x:v>
      </x:c>
      <x:c r="R29" s="28" t="n">
        <x:f>IF(COUNT('Данные'!I29,I29)=2,'Данные'!I29+I29,"н/д")</x:f>
        <x:v>0</x:v>
      </x:c>
      <x:c r="S29" s="28" t="n">
        <x:f>IF(ISNUMBER('Данные'!J29),'Данные'!J29,"н/д")</x:f>
        <x:v>0</x:v>
      </x:c>
      <x:c r="T29" s="28" t="n">
        <x:f>IF(ISNUMBER('Данные'!K29),'Данные'!K29,"н/д")</x:f>
        <x:v>0</x:v>
      </x:c>
      <x:c r="U29" s="28" t="n">
        <x:f>IF(ISNUMBER('Данные'!M29),'Данные'!M29,"н/д")</x:f>
        <x:v>0</x:v>
      </x:c>
      <x:c r="V29" s="28" t="n">
        <x:f>IF(ISNUMBER('Данные'!N29),'Данные'!N29,"н/д")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34" hidden="0" customWidth="1"/>
    <x:col min="3" max="3" width="15" hidden="0" customWidth="1"/>
    <x:col min="4" max="4" width="15" hidden="0" customWidth="1"/>
    <x:col min="5" max="5" width="44" hidden="0" customWidth="1"/>
    <x:col min="1" max="1" width="3" hidden="0" customWidth="1"/>
  </x:cols>
  <x:sheetData>
    <x:row r="2" ht="24" customHeight="1">
      <x:c r="B2" s="3" t="str">
        <x:v>Контроль полноты и расчётов</x:v>
      </x:c>
      <x:c r="C2" s="2"/>
      <x:c r="D2" s="2"/>
      <x:c r="E2" s="2"/>
    </x:row>
    <x:row r="3" ht="24" customHeight="1">
      <x:c r="B3" s="2"/>
      <x:c r="C3" s="2"/>
      <x:c r="D3" s="2"/>
      <x:c r="E3" s="2"/>
    </x:row>
    <x:row r="4" ht="24" customHeight="1">
      <x:c r="B4" s="2"/>
      <x:c r="C4" s="2"/>
      <x:c r="D4" s="2"/>
      <x:c r="E4" s="2"/>
    </x:row>
    <x:row r="5" ht="40" customHeight="1">
      <x:c r="B5" s="7" t="str">
        <x:v>Проверка</x:v>
      </x:c>
      <x:c r="C5" s="7" t="str">
        <x:v>Отклонение / число</x:v>
      </x:c>
      <x:c r="D5" s="7" t="str">
        <x:v>Ожидается</x:v>
      </x:c>
      <x:c r="E5" s="7" t="str">
        <x:v>Значение проверки</x:v>
      </x:c>
    </x:row>
    <x:row r="6" ht="24" customHeight="1">
      <x:c r="B6" s="2" t="str">
        <x:v>Недостающие суммы</x:v>
      </x:c>
      <x:c r="C6" s="24" t="n">
        <x:f>240-COUNT('Данные'!F6:O29)</x:f>
        <x:v>0</x:v>
      </x:c>
      <x:c r="D6" s="25" t="n">
        <x:v>0</x:v>
      </x:c>
      <x:c r="E6" s="2" t="str">
        <x:v>Полнота 10 денежных полей</x:v>
      </x:c>
    </x:row>
    <x:row r="7" ht="24" customHeight="1">
      <x:c r="B7" s="2" t="str">
        <x:v>Незакрытые строки</x:v>
      </x:c>
      <x:c r="C7" s="24" t="n">
        <x:f>24-COUNTIFS('Данные'!P6:P29,1)</x:f>
        <x:v>0</x:v>
      </x:c>
      <x:c r="D7" s="25" t="n">
        <x:v>0</x:v>
      </x:c>
      <x:c r="E7" s="2" t="str">
        <x:v>Статус закрытия задан пользователем</x:v>
      </x:c>
    </x:row>
    <x:row r="8" ht="24" customHeight="1">
      <x:c r="B8" s="2" t="str">
        <x:v>Незаполненные источники</x:v>
      </x:c>
      <x:c r="C8" s="24" t="n">
        <x:f>COUNTBLANK('Данные'!Q6:Q29)</x:f>
        <x:v>0</x:v>
      </x:c>
      <x:c r="D8" s="25" t="n">
        <x:v>0</x:v>
      </x:c>
      <x:c r="E8" s="2" t="str">
        <x:v>Наличие ссылки, не проверка документа</x:v>
      </x:c>
    </x:row>
    <x:row r="9" ht="24" customHeight="1">
      <x:c r="B9" s="2" t="str">
        <x:v>Распределения без расчёта</x:v>
      </x:c>
      <x:c r="C9" s="24" t="n">
        <x:f>6-COUNT('Распределение'!K6:K11)</x:f>
        <x:v>0</x:v>
      </x:c>
      <x:c r="D9" s="25" t="n">
        <x:v>0</x:v>
      </x:c>
      <x:c r="E9" s="2" t="str">
        <x:v>Пул и базы известны</x:v>
      </x:c>
    </x:row>
    <x:row r="10" ht="24" customHeight="1">
      <x:c r="B10" s="2" t="str">
        <x:v>Разница распределений</x:v>
      </x:c>
      <x:c r="C10" s="24" t="n">
        <x:f>IF(COUNT('Распределение'!K6:K11)=6,SUM('Распределение'!K6:K11),"н/д")</x:f>
        <x:v>0</x:v>
      </x:c>
      <x:c r="D10" s="25" t="n">
        <x:v>0</x:v>
      </x:c>
      <x:c r="E10" s="2" t="str">
        <x:v>Пул = площадки + остаток</x:v>
      </x:c>
    </x:row>
    <x:row r="11" ht="24" customHeight="1">
      <x:c r="B11" s="2"/>
      <x:c r="C11" s="2"/>
      <x:c r="D11" s="2"/>
      <x:c r="E11" s="2"/>
    </x:row>
    <x:row r="12" ht="24" customHeight="1">
      <x:c r="B12" s="2" t="str">
        <x:v>Структуру ключей и повторные выгрузки проверяет pnl.mjs перед созданием книги.</x:v>
      </x:c>
      <x:c r="C12" s="2"/>
      <x:c r="D12" s="2"/>
      <x:c r="E12" s="2"/>
    </x:row>
    <x:row r="13">
      <x:c r="B13" t="str">
        <x:v>После изменения состава исходников пересоздайте книгу; не добавляйте строки вручную.</x:v>
      </x:c>
    </x:row>
  </x:sheetData>
  <x:conditionalFormatting sqref="C6:C10">
    <x:cfRule type="cellIs" dxfId="2" priority="1" operator="notEqual">
      <x:formula>0</x:formula>
    </x:cfRule>
  </x:conditionalFormatting>
  <x:pageMargins left="0.7" right="0.7" top="0.75" bottom="0.75" header="0.3" footer="0.3"/>
</x:worksheet>
</file>